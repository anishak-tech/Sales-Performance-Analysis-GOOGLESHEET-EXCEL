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 -2" sheetId="1" r:id="rId5"/>
    <sheet state="visible" name="work sheet -2" sheetId="2" r:id="rId6"/>
    <sheet state="visible" name="Raw Data -1" sheetId="3" r:id="rId7"/>
    <sheet state="visible" name="Work sheet-1" sheetId="4" r:id="rId8"/>
    <sheet state="visible" name="PIVOT " sheetId="5" r:id="rId9"/>
  </sheets>
  <definedNames/>
  <calcPr/>
</workbook>
</file>

<file path=xl/sharedStrings.xml><?xml version="1.0" encoding="utf-8"?>
<sst xmlns="http://schemas.openxmlformats.org/spreadsheetml/2006/main" count="915" uniqueCount="208">
  <si>
    <t>Name</t>
  </si>
  <si>
    <t>Gender</t>
  </si>
  <si>
    <t>Hometown</t>
  </si>
  <si>
    <t>Current City</t>
  </si>
  <si>
    <t>Age</t>
  </si>
  <si>
    <t>Favourite Drink</t>
  </si>
  <si>
    <t>Favourite Food</t>
  </si>
  <si>
    <t>Aarav Sharma</t>
  </si>
  <si>
    <t>Male</t>
  </si>
  <si>
    <t>Jaipur</t>
  </si>
  <si>
    <t>Pune</t>
  </si>
  <si>
    <t>Gin &amp; Tonic</t>
  </si>
  <si>
    <t>Pav Bhaji</t>
  </si>
  <si>
    <t>Aditya Iyer</t>
  </si>
  <si>
    <t>Kolkata</t>
  </si>
  <si>
    <t>Delhi</t>
  </si>
  <si>
    <t>Whisky</t>
  </si>
  <si>
    <t>Rajma Chawal</t>
  </si>
  <si>
    <t>Karan Reddy</t>
  </si>
  <si>
    <t>Bangalore</t>
  </si>
  <si>
    <t>Thandai</t>
  </si>
  <si>
    <t>Vada Pav</t>
  </si>
  <si>
    <t>Raghav Singh</t>
  </si>
  <si>
    <t>Lucknow</t>
  </si>
  <si>
    <t>Gurgaon</t>
  </si>
  <si>
    <t>Coconut Water</t>
  </si>
  <si>
    <t>Arjun Mehta</t>
  </si>
  <si>
    <t>Nimbu Pani</t>
  </si>
  <si>
    <t>Butter Chicken</t>
  </si>
  <si>
    <t>Vikram Chatterjee</t>
  </si>
  <si>
    <t>Mumbai</t>
  </si>
  <si>
    <t>Noida</t>
  </si>
  <si>
    <t>Beer</t>
  </si>
  <si>
    <t>Sameer Banerjee</t>
  </si>
  <si>
    <t>Hyderabad</t>
  </si>
  <si>
    <t>Rum</t>
  </si>
  <si>
    <t>Paneer Tikka</t>
  </si>
  <si>
    <t>Rohit Mukherjee</t>
  </si>
  <si>
    <t>Chennai</t>
  </si>
  <si>
    <t>Masala Chai</t>
  </si>
  <si>
    <t>Masala Dosa</t>
  </si>
  <si>
    <t>Manish Ghosh</t>
  </si>
  <si>
    <t>Pranav Nair</t>
  </si>
  <si>
    <t>Filter Coffee</t>
  </si>
  <si>
    <t>Rajeev Menon</t>
  </si>
  <si>
    <t>Devansh Pillai</t>
  </si>
  <si>
    <t>Chole Bhature</t>
  </si>
  <si>
    <t>Mohit Deshmukh</t>
  </si>
  <si>
    <t>Lassi</t>
  </si>
  <si>
    <t>Shyam Patil</t>
  </si>
  <si>
    <t>Ahmedabad</t>
  </si>
  <si>
    <t>Pani Puri</t>
  </si>
  <si>
    <t>Naveen Kulkarni</t>
  </si>
  <si>
    <t>Harsh Joshi</t>
  </si>
  <si>
    <t>Biryani</t>
  </si>
  <si>
    <t>Sandeep Pandey</t>
  </si>
  <si>
    <t>Rajat Tripathi</t>
  </si>
  <si>
    <t>Yash Mishra</t>
  </si>
  <si>
    <t>Tushar Tiwari</t>
  </si>
  <si>
    <t>Siddharth Saxena</t>
  </si>
  <si>
    <t>Nikhil Verma</t>
  </si>
  <si>
    <t>Varun Yadav</t>
  </si>
  <si>
    <t>Omkar Chauhan</t>
  </si>
  <si>
    <t>Fish Curry</t>
  </si>
  <si>
    <t>Abhishek Thakur</t>
  </si>
  <si>
    <t>Ananya Shetty</t>
  </si>
  <si>
    <t>Female</t>
  </si>
  <si>
    <t>Riya Rao</t>
  </si>
  <si>
    <t>Priya Gowda</t>
  </si>
  <si>
    <t>Neha Krishnan</t>
  </si>
  <si>
    <t>Shreya Swamy</t>
  </si>
  <si>
    <t>Kavya Fernandes</t>
  </si>
  <si>
    <t>Meera D’Souza</t>
  </si>
  <si>
    <t>Sneha Pinto</t>
  </si>
  <si>
    <t>Goa</t>
  </si>
  <si>
    <t>Aditi George</t>
  </si>
  <si>
    <t>Pooja Khan</t>
  </si>
  <si>
    <t>Isha Sheikh</t>
  </si>
  <si>
    <t>Radhika Ansari</t>
  </si>
  <si>
    <t>Nisha Qureshi</t>
  </si>
  <si>
    <t>Sakshi Syed</t>
  </si>
  <si>
    <t>Tanvi Hussain</t>
  </si>
  <si>
    <t>Bhavna Ali</t>
  </si>
  <si>
    <t>Simran Abraham</t>
  </si>
  <si>
    <t>Kriti Mathew</t>
  </si>
  <si>
    <t>Swati Thomas</t>
  </si>
  <si>
    <t>Jhanvi Cherian</t>
  </si>
  <si>
    <t>Komal Varghese</t>
  </si>
  <si>
    <t>Divya Jain</t>
  </si>
  <si>
    <t>Sonali Aggarwal</t>
  </si>
  <si>
    <t>Payal Malhotra</t>
  </si>
  <si>
    <t>Alisha Bhatia</t>
  </si>
  <si>
    <t>Rajesh Sharma</t>
  </si>
  <si>
    <t>Suresh Iyer</t>
  </si>
  <si>
    <t>Kunal Reddy</t>
  </si>
  <si>
    <t>Deepak Singh</t>
  </si>
  <si>
    <t>Akash Mehta</t>
  </si>
  <si>
    <t>Gaurav Chatterjee</t>
  </si>
  <si>
    <t>Ramesh Banerjee</t>
  </si>
  <si>
    <t>Tarun Mukherjee</t>
  </si>
  <si>
    <t>Vikas Ghosh</t>
  </si>
  <si>
    <t>Anil Nair</t>
  </si>
  <si>
    <t>Arvind Menon</t>
  </si>
  <si>
    <t>Santosh Pillai</t>
  </si>
  <si>
    <t>Rakesh Deshmukh</t>
  </si>
  <si>
    <t>Ajay Patil</t>
  </si>
  <si>
    <t>Ashish Kulkarni</t>
  </si>
  <si>
    <t>Vivek Joshi</t>
  </si>
  <si>
    <t>Mohan Pandey</t>
  </si>
  <si>
    <t>Hemant Tripathi</t>
  </si>
  <si>
    <t>Prashant Mishra</t>
  </si>
  <si>
    <t>Abhay Tiwari</t>
  </si>
  <si>
    <t>Keshav Saxena</t>
  </si>
  <si>
    <t>Aniket Verma</t>
  </si>
  <si>
    <t>Gopal Yadav</t>
  </si>
  <si>
    <t>Tejas Chauhan</t>
  </si>
  <si>
    <t>Karthik Thakur</t>
  </si>
  <si>
    <t>Shruti Shetty</t>
  </si>
  <si>
    <t>Aishwarya Rao</t>
  </si>
  <si>
    <t>Pallavi Gowda</t>
  </si>
  <si>
    <t>Radha Krishnan</t>
  </si>
  <si>
    <t>Lakshmi Swamy</t>
  </si>
  <si>
    <t>Teresa Fernandes</t>
  </si>
  <si>
    <t>Christina D’Souza</t>
  </si>
  <si>
    <t>Maria Pinto</t>
  </si>
  <si>
    <t>Rebecca George</t>
  </si>
  <si>
    <t>Farah Khan</t>
  </si>
  <si>
    <t>Sana Sheikh</t>
  </si>
  <si>
    <t>Hina Ansari</t>
  </si>
  <si>
    <t>Saira Qureshi</t>
  </si>
  <si>
    <t>Zoya Syed</t>
  </si>
  <si>
    <t>Naaz Hussain</t>
  </si>
  <si>
    <t>Yasmin Ali</t>
  </si>
  <si>
    <t>Annie Abraham</t>
  </si>
  <si>
    <t>Beena Mathew</t>
  </si>
  <si>
    <t>Lincy Thomas</t>
  </si>
  <si>
    <t>Susan Cherian</t>
  </si>
  <si>
    <t>Deepa Varghese</t>
  </si>
  <si>
    <t>Renu Jain</t>
  </si>
  <si>
    <t>Vandana Aggarwal</t>
  </si>
  <si>
    <t>Shalini Malhotra</t>
  </si>
  <si>
    <t>Poonam Bhatia</t>
  </si>
  <si>
    <t>Favourite drink</t>
  </si>
  <si>
    <t xml:space="preserve">Favourite food </t>
  </si>
  <si>
    <t xml:space="preserve"> 1. Filter  raw data based on  city to  find teh males and female sin each city</t>
  </si>
  <si>
    <t>Filter based on  favourite drink and find teh count of peopel in each catagory</t>
  </si>
  <si>
    <t>Order ID</t>
  </si>
  <si>
    <t>Date</t>
  </si>
  <si>
    <t>Region</t>
  </si>
  <si>
    <t>Salesperson</t>
  </si>
  <si>
    <t>Product</t>
  </si>
  <si>
    <t>Quantity</t>
  </si>
  <si>
    <t>Unit Price</t>
  </si>
  <si>
    <t>Total Sales</t>
  </si>
  <si>
    <t>North</t>
  </si>
  <si>
    <t>Anil</t>
  </si>
  <si>
    <t>Laptop</t>
  </si>
  <si>
    <t>South</t>
  </si>
  <si>
    <t>Meena</t>
  </si>
  <si>
    <t>Mobile</t>
  </si>
  <si>
    <t>East</t>
  </si>
  <si>
    <t>Raj</t>
  </si>
  <si>
    <t>Tablet</t>
  </si>
  <si>
    <t>West</t>
  </si>
  <si>
    <t>Pooja</t>
  </si>
  <si>
    <t>Raman</t>
  </si>
  <si>
    <t>Trupti</t>
  </si>
  <si>
    <t>sati</t>
  </si>
  <si>
    <t>Ramesh</t>
  </si>
  <si>
    <t>Anurup</t>
  </si>
  <si>
    <t>pooja</t>
  </si>
  <si>
    <t>1st-june-24</t>
  </si>
  <si>
    <t>meena</t>
  </si>
  <si>
    <t>1st-june-25</t>
  </si>
  <si>
    <t>1st-june-26</t>
  </si>
  <si>
    <t>1st-june-27</t>
  </si>
  <si>
    <t>1st-june-28</t>
  </si>
  <si>
    <t>1st-june-29</t>
  </si>
  <si>
    <t>west</t>
  </si>
  <si>
    <t>1st-june-30</t>
  </si>
  <si>
    <t>1st-jan-24</t>
  </si>
  <si>
    <t>1st-jan-25</t>
  </si>
  <si>
    <t>1st-jan-26</t>
  </si>
  <si>
    <t>1st-jan-27</t>
  </si>
  <si>
    <t>1st-jan-28</t>
  </si>
  <si>
    <t>1st-jan-29</t>
  </si>
  <si>
    <t>1st-jan-30</t>
  </si>
  <si>
    <t>1st-jan-31</t>
  </si>
  <si>
    <t>1st-feb-24</t>
  </si>
  <si>
    <t>1st-feb-25</t>
  </si>
  <si>
    <t>1st-feb-26</t>
  </si>
  <si>
    <t>1st-feb-27</t>
  </si>
  <si>
    <t>1st-feb-28</t>
  </si>
  <si>
    <t>1st-feb-29</t>
  </si>
  <si>
    <t>1st-feb-30</t>
  </si>
  <si>
    <t xml:space="preserve">vlookup </t>
  </si>
  <si>
    <t>1. Total Sales by Region</t>
  </si>
  <si>
    <t>2. Sales by Salesperson</t>
  </si>
  <si>
    <t>3. Product-wise Sales</t>
  </si>
  <si>
    <t>4. Monthly Sales Trend</t>
  </si>
  <si>
    <t>5. Top Performing Product per Region</t>
  </si>
  <si>
    <t>6.Average Sale Value</t>
  </si>
  <si>
    <t>SUM of Total Sales</t>
  </si>
  <si>
    <t>Date - Month</t>
  </si>
  <si>
    <t>AVERAGE of Total Sales</t>
  </si>
  <si>
    <t>Apr</t>
  </si>
  <si>
    <t>Grand Total</t>
  </si>
  <si>
    <t>Aug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</si>
</sst>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"/>
    <numFmt numFmtId="165" formatCode="m/d/yyyy h:mm:ss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76A5AF"/>
        <bgColor rgb="FF76A5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3" numFmtId="0" xfId="0" applyFont="1"/>
    <xf borderId="1" fillId="3" fontId="4" numFmtId="0" xfId="0" applyAlignment="1" applyBorder="1" applyFill="1" applyFont="1">
      <alignment horizontal="center" vertical="top"/>
    </xf>
    <xf borderId="1" fillId="0" fontId="5" numFmtId="0" xfId="0" applyAlignment="1" applyBorder="1" applyFont="1">
      <alignment horizontal="right" vertical="bottom"/>
    </xf>
    <xf borderId="1" fillId="0" fontId="5" numFmtId="164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3" fontId="1" numFmtId="0" xfId="0" applyFont="1"/>
    <xf borderId="1" fillId="0" fontId="4" numFmtId="0" xfId="0" applyAlignment="1" applyBorder="1" applyFont="1">
      <alignment horizontal="center" vertical="top"/>
    </xf>
    <xf borderId="0" fillId="4" fontId="2" numFmtId="0" xfId="0" applyFill="1" applyFont="1"/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4" fontId="3" numFmtId="0" xfId="0" applyFont="1"/>
    <xf borderId="0" fillId="5" fontId="3" numFmtId="0" xfId="0" applyFill="1" applyFont="1"/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0" fontId="3" numFmtId="0" xfId="0" applyFont="1"/>
    <xf borderId="0" fillId="5" fontId="3" numFmtId="165" xfId="0" applyFont="1" applyNumberFormat="1"/>
    <xf borderId="0" fillId="0" fontId="3" numFmtId="165" xfId="0" applyFont="1" applyNumberFormat="1"/>
    <xf borderId="0" fillId="8" fontId="3" numFmtId="0" xfId="0" applyFill="1" applyFont="1"/>
    <xf borderId="0" fillId="9" fontId="3" numFmtId="0" xfId="0" applyFill="1" applyFont="1"/>
    <xf borderId="0" fillId="10" fontId="3" numFmtId="0" xfId="0" applyFill="1" applyFont="1"/>
    <xf borderId="0" fillId="11" fontId="3" numFmtId="0" xfId="0" applyFill="1" applyFont="1"/>
    <xf borderId="0" fillId="12" fontId="3" numFmtId="0" xfId="0" applyFill="1" applyFont="1"/>
    <xf borderId="0" fillId="5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3.25"/>
    <col customWidth="1" min="7" max="7" width="13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 t="s">
        <v>8</v>
      </c>
      <c r="C2" s="2" t="s">
        <v>9</v>
      </c>
      <c r="D2" s="2" t="s">
        <v>10</v>
      </c>
      <c r="E2" s="2">
        <v>50.0</v>
      </c>
      <c r="F2" s="2" t="s">
        <v>11</v>
      </c>
      <c r="G2" s="2" t="s">
        <v>12</v>
      </c>
    </row>
    <row r="3" ht="15.75" customHeight="1">
      <c r="A3" s="2" t="s">
        <v>13</v>
      </c>
      <c r="B3" s="2" t="s">
        <v>8</v>
      </c>
      <c r="C3" s="2" t="s">
        <v>14</v>
      </c>
      <c r="D3" s="2" t="s">
        <v>15</v>
      </c>
      <c r="E3" s="2">
        <v>23.0</v>
      </c>
      <c r="F3" s="2" t="s">
        <v>16</v>
      </c>
      <c r="G3" s="2" t="s">
        <v>17</v>
      </c>
    </row>
    <row r="4" ht="15.75" customHeight="1">
      <c r="A4" s="2" t="s">
        <v>18</v>
      </c>
      <c r="B4" s="2" t="s">
        <v>8</v>
      </c>
      <c r="C4" s="2" t="s">
        <v>19</v>
      </c>
      <c r="D4" s="2" t="s">
        <v>10</v>
      </c>
      <c r="E4" s="2">
        <v>20.0</v>
      </c>
      <c r="F4" s="2" t="s">
        <v>20</v>
      </c>
      <c r="G4" s="2" t="s">
        <v>21</v>
      </c>
    </row>
    <row r="5" ht="15.75" customHeight="1">
      <c r="A5" s="2" t="s">
        <v>22</v>
      </c>
      <c r="B5" s="2" t="s">
        <v>8</v>
      </c>
      <c r="C5" s="2" t="s">
        <v>23</v>
      </c>
      <c r="D5" s="2" t="s">
        <v>24</v>
      </c>
      <c r="E5" s="2">
        <v>60.0</v>
      </c>
      <c r="F5" s="2" t="s">
        <v>25</v>
      </c>
      <c r="G5" s="2" t="s">
        <v>21</v>
      </c>
    </row>
    <row r="6" ht="15.75" customHeight="1">
      <c r="A6" s="2" t="s">
        <v>26</v>
      </c>
      <c r="B6" s="2" t="s">
        <v>8</v>
      </c>
      <c r="C6" s="2" t="s">
        <v>10</v>
      </c>
      <c r="D6" s="2" t="s">
        <v>19</v>
      </c>
      <c r="E6" s="2">
        <v>44.0</v>
      </c>
      <c r="F6" s="2" t="s">
        <v>27</v>
      </c>
      <c r="G6" s="2" t="s">
        <v>28</v>
      </c>
    </row>
    <row r="7" ht="15.75" customHeight="1">
      <c r="A7" s="2" t="s">
        <v>29</v>
      </c>
      <c r="B7" s="2" t="s">
        <v>8</v>
      </c>
      <c r="C7" s="2" t="s">
        <v>30</v>
      </c>
      <c r="D7" s="2" t="s">
        <v>31</v>
      </c>
      <c r="E7" s="2">
        <v>48.0</v>
      </c>
      <c r="F7" s="2" t="s">
        <v>32</v>
      </c>
      <c r="G7" s="2" t="s">
        <v>17</v>
      </c>
    </row>
    <row r="8" ht="15.75" customHeight="1">
      <c r="A8" s="2" t="s">
        <v>33</v>
      </c>
      <c r="B8" s="2" t="s">
        <v>8</v>
      </c>
      <c r="C8" s="2" t="s">
        <v>14</v>
      </c>
      <c r="D8" s="2" t="s">
        <v>34</v>
      </c>
      <c r="E8" s="2">
        <v>21.0</v>
      </c>
      <c r="F8" s="2" t="s">
        <v>35</v>
      </c>
      <c r="G8" s="2" t="s">
        <v>36</v>
      </c>
    </row>
    <row r="9" ht="15.75" customHeight="1">
      <c r="A9" s="2" t="s">
        <v>37</v>
      </c>
      <c r="B9" s="2" t="s">
        <v>8</v>
      </c>
      <c r="C9" s="2" t="s">
        <v>9</v>
      </c>
      <c r="D9" s="2" t="s">
        <v>38</v>
      </c>
      <c r="E9" s="2">
        <v>29.0</v>
      </c>
      <c r="F9" s="2" t="s">
        <v>39</v>
      </c>
      <c r="G9" s="2" t="s">
        <v>40</v>
      </c>
    </row>
    <row r="10" ht="15.75" customHeight="1">
      <c r="A10" s="2" t="s">
        <v>41</v>
      </c>
      <c r="B10" s="2" t="s">
        <v>8</v>
      </c>
      <c r="C10" s="2" t="s">
        <v>10</v>
      </c>
      <c r="D10" s="2" t="s">
        <v>15</v>
      </c>
      <c r="E10" s="2">
        <v>46.0</v>
      </c>
      <c r="F10" s="2" t="s">
        <v>25</v>
      </c>
      <c r="G10" s="2" t="s">
        <v>40</v>
      </c>
    </row>
    <row r="11" ht="15.75" customHeight="1">
      <c r="A11" s="2" t="s">
        <v>42</v>
      </c>
      <c r="B11" s="2" t="s">
        <v>8</v>
      </c>
      <c r="C11" s="2" t="s">
        <v>14</v>
      </c>
      <c r="D11" s="2" t="s">
        <v>31</v>
      </c>
      <c r="E11" s="2">
        <v>49.0</v>
      </c>
      <c r="F11" s="2" t="s">
        <v>43</v>
      </c>
      <c r="G11" s="2" t="s">
        <v>28</v>
      </c>
    </row>
    <row r="12" ht="15.75" customHeight="1">
      <c r="A12" s="2" t="s">
        <v>44</v>
      </c>
      <c r="B12" s="2" t="s">
        <v>8</v>
      </c>
      <c r="C12" s="2" t="s">
        <v>38</v>
      </c>
      <c r="D12" s="2" t="s">
        <v>24</v>
      </c>
      <c r="E12" s="2">
        <v>53.0</v>
      </c>
      <c r="F12" s="2" t="s">
        <v>39</v>
      </c>
      <c r="G12" s="2" t="s">
        <v>21</v>
      </c>
    </row>
    <row r="13" ht="15.75" customHeight="1">
      <c r="A13" s="2" t="s">
        <v>45</v>
      </c>
      <c r="B13" s="2" t="s">
        <v>8</v>
      </c>
      <c r="C13" s="2" t="s">
        <v>14</v>
      </c>
      <c r="D13" s="2" t="s">
        <v>34</v>
      </c>
      <c r="E13" s="2">
        <v>41.0</v>
      </c>
      <c r="F13" s="2" t="s">
        <v>39</v>
      </c>
      <c r="G13" s="2" t="s">
        <v>46</v>
      </c>
    </row>
    <row r="14" ht="15.75" customHeight="1">
      <c r="A14" s="2" t="s">
        <v>47</v>
      </c>
      <c r="B14" s="2" t="s">
        <v>8</v>
      </c>
      <c r="C14" s="2" t="s">
        <v>23</v>
      </c>
      <c r="D14" s="2" t="s">
        <v>30</v>
      </c>
      <c r="E14" s="2">
        <v>58.0</v>
      </c>
      <c r="F14" s="2" t="s">
        <v>48</v>
      </c>
      <c r="G14" s="2" t="s">
        <v>46</v>
      </c>
    </row>
    <row r="15" ht="15.75" customHeight="1">
      <c r="A15" s="2" t="s">
        <v>49</v>
      </c>
      <c r="B15" s="2" t="s">
        <v>8</v>
      </c>
      <c r="C15" s="2" t="s">
        <v>50</v>
      </c>
      <c r="D15" s="2" t="s">
        <v>31</v>
      </c>
      <c r="E15" s="2">
        <v>42.0</v>
      </c>
      <c r="F15" s="2" t="s">
        <v>11</v>
      </c>
      <c r="G15" s="2" t="s">
        <v>51</v>
      </c>
    </row>
    <row r="16" ht="15.75" customHeight="1">
      <c r="A16" s="2" t="s">
        <v>52</v>
      </c>
      <c r="B16" s="2" t="s">
        <v>8</v>
      </c>
      <c r="C16" s="2" t="s">
        <v>15</v>
      </c>
      <c r="D16" s="2" t="s">
        <v>19</v>
      </c>
      <c r="E16" s="2">
        <v>55.0</v>
      </c>
      <c r="F16" s="2" t="s">
        <v>16</v>
      </c>
      <c r="G16" s="2" t="s">
        <v>12</v>
      </c>
    </row>
    <row r="17" ht="15.75" customHeight="1">
      <c r="A17" s="2" t="s">
        <v>53</v>
      </c>
      <c r="B17" s="2" t="s">
        <v>8</v>
      </c>
      <c r="C17" s="2" t="s">
        <v>23</v>
      </c>
      <c r="D17" s="2" t="s">
        <v>31</v>
      </c>
      <c r="E17" s="2">
        <v>21.0</v>
      </c>
      <c r="F17" s="2" t="s">
        <v>35</v>
      </c>
      <c r="G17" s="2" t="s">
        <v>54</v>
      </c>
    </row>
    <row r="18" ht="15.75" customHeight="1">
      <c r="A18" s="2" t="s">
        <v>55</v>
      </c>
      <c r="B18" s="2" t="s">
        <v>8</v>
      </c>
      <c r="C18" s="2" t="s">
        <v>10</v>
      </c>
      <c r="D18" s="2" t="s">
        <v>34</v>
      </c>
      <c r="E18" s="2">
        <v>32.0</v>
      </c>
      <c r="F18" s="2" t="s">
        <v>48</v>
      </c>
      <c r="G18" s="2" t="s">
        <v>54</v>
      </c>
    </row>
    <row r="19" ht="15.75" customHeight="1">
      <c r="A19" s="2" t="s">
        <v>56</v>
      </c>
      <c r="B19" s="2" t="s">
        <v>8</v>
      </c>
      <c r="C19" s="2" t="s">
        <v>30</v>
      </c>
      <c r="D19" s="2" t="s">
        <v>34</v>
      </c>
      <c r="E19" s="2">
        <v>26.0</v>
      </c>
      <c r="F19" s="2" t="s">
        <v>11</v>
      </c>
      <c r="G19" s="2" t="s">
        <v>17</v>
      </c>
    </row>
    <row r="20" ht="15.75" customHeight="1">
      <c r="A20" s="2" t="s">
        <v>57</v>
      </c>
      <c r="B20" s="2" t="s">
        <v>8</v>
      </c>
      <c r="C20" s="2" t="s">
        <v>34</v>
      </c>
      <c r="D20" s="2" t="s">
        <v>30</v>
      </c>
      <c r="E20" s="2">
        <v>30.0</v>
      </c>
      <c r="F20" s="2" t="s">
        <v>27</v>
      </c>
      <c r="G20" s="2" t="s">
        <v>40</v>
      </c>
    </row>
    <row r="21" ht="15.75" customHeight="1">
      <c r="A21" s="2" t="s">
        <v>58</v>
      </c>
      <c r="B21" s="2" t="s">
        <v>8</v>
      </c>
      <c r="C21" s="2" t="s">
        <v>19</v>
      </c>
      <c r="D21" s="2" t="s">
        <v>38</v>
      </c>
      <c r="E21" s="2">
        <v>51.0</v>
      </c>
      <c r="F21" s="2" t="s">
        <v>32</v>
      </c>
      <c r="G21" s="2" t="s">
        <v>51</v>
      </c>
    </row>
    <row r="22" ht="15.75" customHeight="1">
      <c r="A22" s="2" t="s">
        <v>59</v>
      </c>
      <c r="B22" s="2" t="s">
        <v>8</v>
      </c>
      <c r="C22" s="2" t="s">
        <v>10</v>
      </c>
      <c r="D22" s="2" t="s">
        <v>14</v>
      </c>
      <c r="E22" s="2">
        <v>53.0</v>
      </c>
      <c r="F22" s="2" t="s">
        <v>20</v>
      </c>
      <c r="G22" s="2" t="s">
        <v>12</v>
      </c>
    </row>
    <row r="23" ht="15.75" customHeight="1">
      <c r="A23" s="2" t="s">
        <v>60</v>
      </c>
      <c r="B23" s="2" t="s">
        <v>8</v>
      </c>
      <c r="C23" s="2" t="s">
        <v>50</v>
      </c>
      <c r="D23" s="2" t="s">
        <v>38</v>
      </c>
      <c r="E23" s="2">
        <v>41.0</v>
      </c>
      <c r="F23" s="2" t="s">
        <v>35</v>
      </c>
      <c r="G23" s="2" t="s">
        <v>51</v>
      </c>
    </row>
    <row r="24" ht="15.75" customHeight="1">
      <c r="A24" s="2" t="s">
        <v>61</v>
      </c>
      <c r="B24" s="2" t="s">
        <v>8</v>
      </c>
      <c r="C24" s="2" t="s">
        <v>9</v>
      </c>
      <c r="D24" s="2" t="s">
        <v>14</v>
      </c>
      <c r="E24" s="2">
        <v>20.0</v>
      </c>
      <c r="F24" s="2" t="s">
        <v>20</v>
      </c>
      <c r="G24" s="2" t="s">
        <v>28</v>
      </c>
    </row>
    <row r="25" ht="15.75" customHeight="1">
      <c r="A25" s="2" t="s">
        <v>62</v>
      </c>
      <c r="B25" s="2" t="s">
        <v>8</v>
      </c>
      <c r="C25" s="2" t="s">
        <v>9</v>
      </c>
      <c r="D25" s="2" t="s">
        <v>34</v>
      </c>
      <c r="E25" s="2">
        <v>60.0</v>
      </c>
      <c r="F25" s="2" t="s">
        <v>11</v>
      </c>
      <c r="G25" s="2" t="s">
        <v>63</v>
      </c>
    </row>
    <row r="26" ht="15.75" customHeight="1">
      <c r="A26" s="2" t="s">
        <v>64</v>
      </c>
      <c r="B26" s="2" t="s">
        <v>8</v>
      </c>
      <c r="C26" s="2" t="s">
        <v>10</v>
      </c>
      <c r="D26" s="2" t="s">
        <v>31</v>
      </c>
      <c r="E26" s="2">
        <v>32.0</v>
      </c>
      <c r="F26" s="2" t="s">
        <v>35</v>
      </c>
      <c r="G26" s="2" t="s">
        <v>51</v>
      </c>
    </row>
    <row r="27" ht="15.75" customHeight="1">
      <c r="A27" s="2" t="s">
        <v>65</v>
      </c>
      <c r="B27" s="2" t="s">
        <v>66</v>
      </c>
      <c r="C27" s="2" t="s">
        <v>38</v>
      </c>
      <c r="D27" s="2" t="s">
        <v>38</v>
      </c>
      <c r="E27" s="2">
        <v>41.0</v>
      </c>
      <c r="F27" s="2" t="s">
        <v>43</v>
      </c>
      <c r="G27" s="2" t="s">
        <v>63</v>
      </c>
    </row>
    <row r="28" ht="15.75" customHeight="1">
      <c r="A28" s="2" t="s">
        <v>67</v>
      </c>
      <c r="B28" s="2" t="s">
        <v>66</v>
      </c>
      <c r="C28" s="2" t="s">
        <v>14</v>
      </c>
      <c r="D28" s="2" t="s">
        <v>24</v>
      </c>
      <c r="E28" s="2">
        <v>38.0</v>
      </c>
      <c r="F28" s="2" t="s">
        <v>43</v>
      </c>
      <c r="G28" s="2" t="s">
        <v>51</v>
      </c>
    </row>
    <row r="29" ht="15.75" customHeight="1">
      <c r="A29" s="2" t="s">
        <v>68</v>
      </c>
      <c r="B29" s="2" t="s">
        <v>66</v>
      </c>
      <c r="C29" s="2" t="s">
        <v>23</v>
      </c>
      <c r="D29" s="2" t="s">
        <v>34</v>
      </c>
      <c r="E29" s="2">
        <v>51.0</v>
      </c>
      <c r="F29" s="2" t="s">
        <v>25</v>
      </c>
      <c r="G29" s="2" t="s">
        <v>51</v>
      </c>
    </row>
    <row r="30" ht="15.75" customHeight="1">
      <c r="A30" s="2" t="s">
        <v>69</v>
      </c>
      <c r="B30" s="2" t="s">
        <v>66</v>
      </c>
      <c r="C30" s="2" t="s">
        <v>30</v>
      </c>
      <c r="D30" s="2" t="s">
        <v>14</v>
      </c>
      <c r="E30" s="2">
        <v>45.0</v>
      </c>
      <c r="F30" s="2" t="s">
        <v>39</v>
      </c>
      <c r="G30" s="2" t="s">
        <v>40</v>
      </c>
    </row>
    <row r="31" ht="15.75" customHeight="1">
      <c r="A31" s="2" t="s">
        <v>70</v>
      </c>
      <c r="B31" s="2" t="s">
        <v>66</v>
      </c>
      <c r="C31" s="2" t="s">
        <v>30</v>
      </c>
      <c r="D31" s="2" t="s">
        <v>38</v>
      </c>
      <c r="E31" s="2">
        <v>35.0</v>
      </c>
      <c r="F31" s="2" t="s">
        <v>11</v>
      </c>
      <c r="G31" s="2" t="s">
        <v>17</v>
      </c>
    </row>
    <row r="32" ht="15.75" customHeight="1">
      <c r="A32" s="2" t="s">
        <v>71</v>
      </c>
      <c r="B32" s="2" t="s">
        <v>66</v>
      </c>
      <c r="C32" s="2" t="s">
        <v>30</v>
      </c>
      <c r="D32" s="2" t="s">
        <v>14</v>
      </c>
      <c r="E32" s="2">
        <v>35.0</v>
      </c>
      <c r="F32" s="2" t="s">
        <v>32</v>
      </c>
      <c r="G32" s="2" t="s">
        <v>40</v>
      </c>
    </row>
    <row r="33" ht="15.75" customHeight="1">
      <c r="A33" s="2" t="s">
        <v>72</v>
      </c>
      <c r="B33" s="2" t="s">
        <v>66</v>
      </c>
      <c r="C33" s="2" t="s">
        <v>19</v>
      </c>
      <c r="D33" s="2" t="s">
        <v>15</v>
      </c>
      <c r="E33" s="2">
        <v>55.0</v>
      </c>
      <c r="F33" s="2" t="s">
        <v>11</v>
      </c>
      <c r="G33" s="2" t="s">
        <v>21</v>
      </c>
    </row>
    <row r="34" ht="15.75" customHeight="1">
      <c r="A34" s="2" t="s">
        <v>73</v>
      </c>
      <c r="B34" s="2" t="s">
        <v>66</v>
      </c>
      <c r="C34" s="2" t="s">
        <v>38</v>
      </c>
      <c r="D34" s="2" t="s">
        <v>74</v>
      </c>
      <c r="E34" s="2">
        <v>25.0</v>
      </c>
      <c r="F34" s="2" t="s">
        <v>25</v>
      </c>
      <c r="G34" s="2" t="s">
        <v>36</v>
      </c>
    </row>
    <row r="35" ht="15.75" customHeight="1">
      <c r="A35" s="2" t="s">
        <v>75</v>
      </c>
      <c r="B35" s="2" t="s">
        <v>66</v>
      </c>
      <c r="C35" s="2" t="s">
        <v>38</v>
      </c>
      <c r="D35" s="2" t="s">
        <v>30</v>
      </c>
      <c r="E35" s="2">
        <v>21.0</v>
      </c>
      <c r="F35" s="2" t="s">
        <v>39</v>
      </c>
      <c r="G35" s="2" t="s">
        <v>54</v>
      </c>
    </row>
    <row r="36" ht="15.75" customHeight="1">
      <c r="A36" s="2" t="s">
        <v>76</v>
      </c>
      <c r="B36" s="2" t="s">
        <v>66</v>
      </c>
      <c r="C36" s="2" t="s">
        <v>30</v>
      </c>
      <c r="D36" s="2" t="s">
        <v>24</v>
      </c>
      <c r="E36" s="2">
        <v>42.0</v>
      </c>
      <c r="F36" s="2" t="s">
        <v>35</v>
      </c>
      <c r="G36" s="2" t="s">
        <v>63</v>
      </c>
    </row>
    <row r="37" ht="15.75" customHeight="1">
      <c r="A37" s="2" t="s">
        <v>77</v>
      </c>
      <c r="B37" s="2" t="s">
        <v>66</v>
      </c>
      <c r="C37" s="2" t="s">
        <v>30</v>
      </c>
      <c r="D37" s="2" t="s">
        <v>24</v>
      </c>
      <c r="E37" s="2">
        <v>18.0</v>
      </c>
      <c r="F37" s="2" t="s">
        <v>25</v>
      </c>
      <c r="G37" s="2" t="s">
        <v>12</v>
      </c>
    </row>
    <row r="38" ht="15.75" customHeight="1">
      <c r="A38" s="2" t="s">
        <v>78</v>
      </c>
      <c r="B38" s="2" t="s">
        <v>66</v>
      </c>
      <c r="C38" s="2" t="s">
        <v>23</v>
      </c>
      <c r="D38" s="2" t="s">
        <v>31</v>
      </c>
      <c r="E38" s="2">
        <v>25.0</v>
      </c>
      <c r="F38" s="2" t="s">
        <v>39</v>
      </c>
      <c r="G38" s="2" t="s">
        <v>28</v>
      </c>
    </row>
    <row r="39" ht="15.75" customHeight="1">
      <c r="A39" s="2" t="s">
        <v>79</v>
      </c>
      <c r="B39" s="2" t="s">
        <v>66</v>
      </c>
      <c r="C39" s="2" t="s">
        <v>50</v>
      </c>
      <c r="D39" s="2" t="s">
        <v>15</v>
      </c>
      <c r="E39" s="2">
        <v>41.0</v>
      </c>
      <c r="F39" s="2" t="s">
        <v>43</v>
      </c>
      <c r="G39" s="2" t="s">
        <v>46</v>
      </c>
    </row>
    <row r="40" ht="15.75" customHeight="1">
      <c r="A40" s="2" t="s">
        <v>80</v>
      </c>
      <c r="B40" s="2" t="s">
        <v>66</v>
      </c>
      <c r="C40" s="2" t="s">
        <v>10</v>
      </c>
      <c r="D40" s="2" t="s">
        <v>74</v>
      </c>
      <c r="E40" s="2">
        <v>18.0</v>
      </c>
      <c r="F40" s="2" t="s">
        <v>25</v>
      </c>
      <c r="G40" s="2" t="s">
        <v>54</v>
      </c>
    </row>
    <row r="41" ht="15.75" customHeight="1">
      <c r="A41" s="2" t="s">
        <v>81</v>
      </c>
      <c r="B41" s="2" t="s">
        <v>66</v>
      </c>
      <c r="C41" s="2" t="s">
        <v>50</v>
      </c>
      <c r="D41" s="2" t="s">
        <v>19</v>
      </c>
      <c r="E41" s="2">
        <v>35.0</v>
      </c>
      <c r="F41" s="2" t="s">
        <v>11</v>
      </c>
      <c r="G41" s="2" t="s">
        <v>40</v>
      </c>
    </row>
    <row r="42" ht="15.75" customHeight="1">
      <c r="A42" s="2" t="s">
        <v>82</v>
      </c>
      <c r="B42" s="2" t="s">
        <v>66</v>
      </c>
      <c r="C42" s="2" t="s">
        <v>50</v>
      </c>
      <c r="D42" s="2" t="s">
        <v>14</v>
      </c>
      <c r="E42" s="2">
        <v>40.0</v>
      </c>
      <c r="F42" s="2" t="s">
        <v>32</v>
      </c>
      <c r="G42" s="2" t="s">
        <v>12</v>
      </c>
    </row>
    <row r="43" ht="15.75" customHeight="1">
      <c r="A43" s="2" t="s">
        <v>83</v>
      </c>
      <c r="B43" s="2" t="s">
        <v>66</v>
      </c>
      <c r="C43" s="2" t="s">
        <v>15</v>
      </c>
      <c r="D43" s="2" t="s">
        <v>30</v>
      </c>
      <c r="E43" s="2">
        <v>21.0</v>
      </c>
      <c r="F43" s="2" t="s">
        <v>48</v>
      </c>
      <c r="G43" s="2" t="s">
        <v>12</v>
      </c>
    </row>
    <row r="44" ht="15.75" customHeight="1">
      <c r="A44" s="2" t="s">
        <v>84</v>
      </c>
      <c r="B44" s="2" t="s">
        <v>66</v>
      </c>
      <c r="C44" s="2" t="s">
        <v>9</v>
      </c>
      <c r="D44" s="2" t="s">
        <v>19</v>
      </c>
      <c r="E44" s="2">
        <v>54.0</v>
      </c>
      <c r="F44" s="2" t="s">
        <v>35</v>
      </c>
      <c r="G44" s="2" t="s">
        <v>63</v>
      </c>
    </row>
    <row r="45" ht="15.75" customHeight="1">
      <c r="A45" s="2" t="s">
        <v>85</v>
      </c>
      <c r="B45" s="2" t="s">
        <v>66</v>
      </c>
      <c r="C45" s="2" t="s">
        <v>50</v>
      </c>
      <c r="D45" s="2" t="s">
        <v>24</v>
      </c>
      <c r="E45" s="2">
        <v>23.0</v>
      </c>
      <c r="F45" s="2" t="s">
        <v>27</v>
      </c>
      <c r="G45" s="2" t="s">
        <v>17</v>
      </c>
    </row>
    <row r="46" ht="15.75" customHeight="1">
      <c r="A46" s="2" t="s">
        <v>86</v>
      </c>
      <c r="B46" s="2" t="s">
        <v>66</v>
      </c>
      <c r="C46" s="2" t="s">
        <v>10</v>
      </c>
      <c r="D46" s="2" t="s">
        <v>14</v>
      </c>
      <c r="E46" s="2">
        <v>45.0</v>
      </c>
      <c r="F46" s="2" t="s">
        <v>39</v>
      </c>
      <c r="G46" s="2" t="s">
        <v>12</v>
      </c>
    </row>
    <row r="47" ht="15.75" customHeight="1">
      <c r="A47" s="2" t="s">
        <v>87</v>
      </c>
      <c r="B47" s="2" t="s">
        <v>66</v>
      </c>
      <c r="C47" s="2" t="s">
        <v>23</v>
      </c>
      <c r="D47" s="2" t="s">
        <v>34</v>
      </c>
      <c r="E47" s="2">
        <v>42.0</v>
      </c>
      <c r="F47" s="2" t="s">
        <v>32</v>
      </c>
      <c r="G47" s="2" t="s">
        <v>51</v>
      </c>
    </row>
    <row r="48" ht="15.75" customHeight="1">
      <c r="A48" s="2" t="s">
        <v>88</v>
      </c>
      <c r="B48" s="2" t="s">
        <v>66</v>
      </c>
      <c r="C48" s="2" t="s">
        <v>23</v>
      </c>
      <c r="D48" s="2" t="s">
        <v>19</v>
      </c>
      <c r="E48" s="2">
        <v>39.0</v>
      </c>
      <c r="F48" s="2" t="s">
        <v>39</v>
      </c>
      <c r="G48" s="2" t="s">
        <v>54</v>
      </c>
    </row>
    <row r="49" ht="15.75" customHeight="1">
      <c r="A49" s="2" t="s">
        <v>89</v>
      </c>
      <c r="B49" s="2" t="s">
        <v>66</v>
      </c>
      <c r="C49" s="2" t="s">
        <v>30</v>
      </c>
      <c r="D49" s="2" t="s">
        <v>74</v>
      </c>
      <c r="E49" s="2">
        <v>19.0</v>
      </c>
      <c r="F49" s="2" t="s">
        <v>16</v>
      </c>
      <c r="G49" s="2" t="s">
        <v>12</v>
      </c>
    </row>
    <row r="50" ht="15.75" customHeight="1">
      <c r="A50" s="2" t="s">
        <v>90</v>
      </c>
      <c r="B50" s="2" t="s">
        <v>66</v>
      </c>
      <c r="C50" s="2" t="s">
        <v>14</v>
      </c>
      <c r="D50" s="2" t="s">
        <v>74</v>
      </c>
      <c r="E50" s="2">
        <v>47.0</v>
      </c>
      <c r="F50" s="2" t="s">
        <v>25</v>
      </c>
      <c r="G50" s="2" t="s">
        <v>12</v>
      </c>
    </row>
    <row r="51" ht="15.75" customHeight="1">
      <c r="A51" s="2" t="s">
        <v>91</v>
      </c>
      <c r="B51" s="2" t="s">
        <v>66</v>
      </c>
      <c r="C51" s="2" t="s">
        <v>14</v>
      </c>
      <c r="D51" s="2" t="s">
        <v>15</v>
      </c>
      <c r="E51" s="2">
        <v>39.0</v>
      </c>
      <c r="F51" s="2" t="s">
        <v>39</v>
      </c>
      <c r="G51" s="2" t="s">
        <v>54</v>
      </c>
    </row>
    <row r="52" ht="15.75" customHeight="1">
      <c r="A52" s="2" t="s">
        <v>92</v>
      </c>
      <c r="B52" s="2" t="s">
        <v>8</v>
      </c>
      <c r="C52" s="2" t="s">
        <v>23</v>
      </c>
      <c r="D52" s="2" t="s">
        <v>14</v>
      </c>
      <c r="E52" s="2">
        <v>50.0</v>
      </c>
      <c r="F52" s="2" t="s">
        <v>20</v>
      </c>
      <c r="G52" s="2" t="s">
        <v>54</v>
      </c>
    </row>
    <row r="53" ht="15.75" customHeight="1">
      <c r="A53" s="2" t="s">
        <v>93</v>
      </c>
      <c r="B53" s="2" t="s">
        <v>8</v>
      </c>
      <c r="C53" s="2" t="s">
        <v>19</v>
      </c>
      <c r="D53" s="2" t="s">
        <v>19</v>
      </c>
      <c r="E53" s="2">
        <v>21.0</v>
      </c>
      <c r="F53" s="2" t="s">
        <v>20</v>
      </c>
      <c r="G53" s="2" t="s">
        <v>28</v>
      </c>
    </row>
    <row r="54" ht="15.75" customHeight="1">
      <c r="A54" s="2" t="s">
        <v>94</v>
      </c>
      <c r="B54" s="2" t="s">
        <v>8</v>
      </c>
      <c r="C54" s="2" t="s">
        <v>30</v>
      </c>
      <c r="D54" s="2" t="s">
        <v>31</v>
      </c>
      <c r="E54" s="2">
        <v>53.0</v>
      </c>
      <c r="F54" s="2" t="s">
        <v>20</v>
      </c>
      <c r="G54" s="2" t="s">
        <v>46</v>
      </c>
    </row>
    <row r="55" ht="15.75" customHeight="1">
      <c r="A55" s="2" t="s">
        <v>95</v>
      </c>
      <c r="B55" s="2" t="s">
        <v>8</v>
      </c>
      <c r="C55" s="2" t="s">
        <v>19</v>
      </c>
      <c r="D55" s="2" t="s">
        <v>10</v>
      </c>
      <c r="E55" s="2">
        <v>32.0</v>
      </c>
      <c r="F55" s="2" t="s">
        <v>16</v>
      </c>
      <c r="G55" s="2" t="s">
        <v>46</v>
      </c>
    </row>
    <row r="56" ht="15.75" customHeight="1">
      <c r="A56" s="2" t="s">
        <v>96</v>
      </c>
      <c r="B56" s="2" t="s">
        <v>8</v>
      </c>
      <c r="C56" s="2" t="s">
        <v>30</v>
      </c>
      <c r="D56" s="2" t="s">
        <v>10</v>
      </c>
      <c r="E56" s="2">
        <v>21.0</v>
      </c>
      <c r="F56" s="2" t="s">
        <v>20</v>
      </c>
      <c r="G56" s="2" t="s">
        <v>36</v>
      </c>
    </row>
    <row r="57" ht="15.75" customHeight="1">
      <c r="A57" s="2" t="s">
        <v>97</v>
      </c>
      <c r="B57" s="2" t="s">
        <v>8</v>
      </c>
      <c r="C57" s="2" t="s">
        <v>38</v>
      </c>
      <c r="D57" s="2" t="s">
        <v>14</v>
      </c>
      <c r="E57" s="2">
        <v>44.0</v>
      </c>
      <c r="F57" s="2" t="s">
        <v>32</v>
      </c>
      <c r="G57" s="2" t="s">
        <v>40</v>
      </c>
    </row>
    <row r="58" ht="15.75" customHeight="1">
      <c r="A58" s="2" t="s">
        <v>98</v>
      </c>
      <c r="B58" s="2" t="s">
        <v>8</v>
      </c>
      <c r="C58" s="2" t="s">
        <v>34</v>
      </c>
      <c r="D58" s="2" t="s">
        <v>74</v>
      </c>
      <c r="E58" s="2">
        <v>23.0</v>
      </c>
      <c r="F58" s="2" t="s">
        <v>11</v>
      </c>
      <c r="G58" s="2" t="s">
        <v>36</v>
      </c>
    </row>
    <row r="59" ht="15.75" customHeight="1">
      <c r="A59" s="2" t="s">
        <v>99</v>
      </c>
      <c r="B59" s="2" t="s">
        <v>8</v>
      </c>
      <c r="C59" s="2" t="s">
        <v>34</v>
      </c>
      <c r="D59" s="2" t="s">
        <v>15</v>
      </c>
      <c r="E59" s="2">
        <v>45.0</v>
      </c>
      <c r="F59" s="2" t="s">
        <v>48</v>
      </c>
      <c r="G59" s="2" t="s">
        <v>46</v>
      </c>
    </row>
    <row r="60" ht="15.75" customHeight="1">
      <c r="A60" s="2" t="s">
        <v>100</v>
      </c>
      <c r="B60" s="2" t="s">
        <v>8</v>
      </c>
      <c r="C60" s="2" t="s">
        <v>10</v>
      </c>
      <c r="D60" s="2" t="s">
        <v>14</v>
      </c>
      <c r="E60" s="2">
        <v>54.0</v>
      </c>
      <c r="F60" s="2" t="s">
        <v>27</v>
      </c>
      <c r="G60" s="2" t="s">
        <v>28</v>
      </c>
    </row>
    <row r="61" ht="15.75" customHeight="1">
      <c r="A61" s="2" t="s">
        <v>101</v>
      </c>
      <c r="B61" s="2" t="s">
        <v>8</v>
      </c>
      <c r="C61" s="2" t="s">
        <v>19</v>
      </c>
      <c r="D61" s="2" t="s">
        <v>10</v>
      </c>
      <c r="E61" s="2">
        <v>45.0</v>
      </c>
      <c r="F61" s="2" t="s">
        <v>11</v>
      </c>
      <c r="G61" s="2" t="s">
        <v>63</v>
      </c>
    </row>
    <row r="62" ht="15.75" customHeight="1">
      <c r="A62" s="2" t="s">
        <v>102</v>
      </c>
      <c r="B62" s="2" t="s">
        <v>8</v>
      </c>
      <c r="C62" s="2" t="s">
        <v>10</v>
      </c>
      <c r="D62" s="2" t="s">
        <v>14</v>
      </c>
      <c r="E62" s="2">
        <v>47.0</v>
      </c>
      <c r="F62" s="2" t="s">
        <v>39</v>
      </c>
      <c r="G62" s="2" t="s">
        <v>12</v>
      </c>
    </row>
    <row r="63" ht="15.75" customHeight="1">
      <c r="A63" s="2" t="s">
        <v>103</v>
      </c>
      <c r="B63" s="2" t="s">
        <v>8</v>
      </c>
      <c r="C63" s="2" t="s">
        <v>9</v>
      </c>
      <c r="D63" s="2" t="s">
        <v>15</v>
      </c>
      <c r="E63" s="2">
        <v>28.0</v>
      </c>
      <c r="F63" s="2" t="s">
        <v>43</v>
      </c>
      <c r="G63" s="2" t="s">
        <v>21</v>
      </c>
    </row>
    <row r="64" ht="15.75" customHeight="1">
      <c r="A64" s="2" t="s">
        <v>104</v>
      </c>
      <c r="B64" s="2" t="s">
        <v>8</v>
      </c>
      <c r="C64" s="2" t="s">
        <v>10</v>
      </c>
      <c r="D64" s="2" t="s">
        <v>34</v>
      </c>
      <c r="E64" s="2">
        <v>49.0</v>
      </c>
      <c r="F64" s="2" t="s">
        <v>39</v>
      </c>
      <c r="G64" s="2" t="s">
        <v>36</v>
      </c>
    </row>
    <row r="65" ht="15.75" customHeight="1">
      <c r="A65" s="2" t="s">
        <v>105</v>
      </c>
      <c r="B65" s="2" t="s">
        <v>8</v>
      </c>
      <c r="C65" s="2" t="s">
        <v>30</v>
      </c>
      <c r="D65" s="2" t="s">
        <v>30</v>
      </c>
      <c r="E65" s="2">
        <v>52.0</v>
      </c>
      <c r="F65" s="2" t="s">
        <v>35</v>
      </c>
      <c r="G65" s="2" t="s">
        <v>51</v>
      </c>
    </row>
    <row r="66" ht="15.75" customHeight="1">
      <c r="A66" s="2" t="s">
        <v>106</v>
      </c>
      <c r="B66" s="2" t="s">
        <v>8</v>
      </c>
      <c r="C66" s="2" t="s">
        <v>9</v>
      </c>
      <c r="D66" s="2" t="s">
        <v>10</v>
      </c>
      <c r="E66" s="2">
        <v>35.0</v>
      </c>
      <c r="F66" s="2" t="s">
        <v>39</v>
      </c>
      <c r="G66" s="2" t="s">
        <v>54</v>
      </c>
    </row>
    <row r="67" ht="15.75" customHeight="1">
      <c r="A67" s="2" t="s">
        <v>107</v>
      </c>
      <c r="B67" s="2" t="s">
        <v>8</v>
      </c>
      <c r="C67" s="2" t="s">
        <v>19</v>
      </c>
      <c r="D67" s="2" t="s">
        <v>10</v>
      </c>
      <c r="E67" s="2">
        <v>26.0</v>
      </c>
      <c r="F67" s="2" t="s">
        <v>43</v>
      </c>
      <c r="G67" s="2" t="s">
        <v>63</v>
      </c>
    </row>
    <row r="68" ht="15.75" customHeight="1">
      <c r="A68" s="2" t="s">
        <v>108</v>
      </c>
      <c r="B68" s="2" t="s">
        <v>8</v>
      </c>
      <c r="C68" s="2" t="s">
        <v>30</v>
      </c>
      <c r="D68" s="2" t="s">
        <v>34</v>
      </c>
      <c r="E68" s="2">
        <v>35.0</v>
      </c>
      <c r="F68" s="2" t="s">
        <v>16</v>
      </c>
      <c r="G68" s="2" t="s">
        <v>12</v>
      </c>
    </row>
    <row r="69" ht="15.75" customHeight="1">
      <c r="A69" s="2" t="s">
        <v>109</v>
      </c>
      <c r="B69" s="2" t="s">
        <v>8</v>
      </c>
      <c r="C69" s="2" t="s">
        <v>34</v>
      </c>
      <c r="D69" s="2" t="s">
        <v>19</v>
      </c>
      <c r="E69" s="2">
        <v>45.0</v>
      </c>
      <c r="F69" s="2" t="s">
        <v>27</v>
      </c>
      <c r="G69" s="2" t="s">
        <v>54</v>
      </c>
    </row>
    <row r="70" ht="15.75" customHeight="1">
      <c r="A70" s="2" t="s">
        <v>110</v>
      </c>
      <c r="B70" s="2" t="s">
        <v>8</v>
      </c>
      <c r="C70" s="2" t="s">
        <v>19</v>
      </c>
      <c r="D70" s="2" t="s">
        <v>10</v>
      </c>
      <c r="E70" s="2">
        <v>42.0</v>
      </c>
      <c r="F70" s="2" t="s">
        <v>39</v>
      </c>
      <c r="G70" s="2" t="s">
        <v>51</v>
      </c>
    </row>
    <row r="71" ht="15.75" customHeight="1">
      <c r="A71" s="2" t="s">
        <v>111</v>
      </c>
      <c r="B71" s="2" t="s">
        <v>8</v>
      </c>
      <c r="C71" s="2" t="s">
        <v>34</v>
      </c>
      <c r="D71" s="2" t="s">
        <v>31</v>
      </c>
      <c r="E71" s="2">
        <v>20.0</v>
      </c>
      <c r="F71" s="2" t="s">
        <v>48</v>
      </c>
      <c r="G71" s="2" t="s">
        <v>51</v>
      </c>
    </row>
    <row r="72" ht="15.75" customHeight="1">
      <c r="A72" s="2" t="s">
        <v>112</v>
      </c>
      <c r="B72" s="2" t="s">
        <v>8</v>
      </c>
      <c r="C72" s="2" t="s">
        <v>34</v>
      </c>
      <c r="D72" s="2" t="s">
        <v>38</v>
      </c>
      <c r="E72" s="2">
        <v>48.0</v>
      </c>
      <c r="F72" s="2" t="s">
        <v>48</v>
      </c>
      <c r="G72" s="2" t="s">
        <v>36</v>
      </c>
    </row>
    <row r="73" ht="15.75" customHeight="1">
      <c r="A73" s="2" t="s">
        <v>113</v>
      </c>
      <c r="B73" s="2" t="s">
        <v>8</v>
      </c>
      <c r="C73" s="2" t="s">
        <v>23</v>
      </c>
      <c r="D73" s="2" t="s">
        <v>15</v>
      </c>
      <c r="E73" s="2">
        <v>35.0</v>
      </c>
      <c r="F73" s="2" t="s">
        <v>43</v>
      </c>
      <c r="G73" s="2" t="s">
        <v>12</v>
      </c>
    </row>
    <row r="74" ht="15.75" customHeight="1">
      <c r="A74" s="2" t="s">
        <v>114</v>
      </c>
      <c r="B74" s="2" t="s">
        <v>8</v>
      </c>
      <c r="C74" s="2" t="s">
        <v>14</v>
      </c>
      <c r="D74" s="2" t="s">
        <v>34</v>
      </c>
      <c r="E74" s="2">
        <v>60.0</v>
      </c>
      <c r="F74" s="2" t="s">
        <v>39</v>
      </c>
      <c r="G74" s="2" t="s">
        <v>12</v>
      </c>
    </row>
    <row r="75" ht="15.75" customHeight="1">
      <c r="A75" s="2" t="s">
        <v>115</v>
      </c>
      <c r="B75" s="2" t="s">
        <v>8</v>
      </c>
      <c r="C75" s="2" t="s">
        <v>34</v>
      </c>
      <c r="D75" s="2" t="s">
        <v>15</v>
      </c>
      <c r="E75" s="2">
        <v>21.0</v>
      </c>
      <c r="F75" s="2" t="s">
        <v>48</v>
      </c>
      <c r="G75" s="2" t="s">
        <v>21</v>
      </c>
    </row>
    <row r="76" ht="15.75" customHeight="1">
      <c r="A76" s="2" t="s">
        <v>116</v>
      </c>
      <c r="B76" s="2" t="s">
        <v>8</v>
      </c>
      <c r="C76" s="2" t="s">
        <v>38</v>
      </c>
      <c r="D76" s="2" t="s">
        <v>14</v>
      </c>
      <c r="E76" s="2">
        <v>50.0</v>
      </c>
      <c r="F76" s="2" t="s">
        <v>32</v>
      </c>
      <c r="G76" s="2" t="s">
        <v>36</v>
      </c>
    </row>
    <row r="77" ht="15.75" customHeight="1">
      <c r="A77" s="2" t="s">
        <v>117</v>
      </c>
      <c r="B77" s="2" t="s">
        <v>66</v>
      </c>
      <c r="C77" s="2" t="s">
        <v>15</v>
      </c>
      <c r="D77" s="2" t="s">
        <v>15</v>
      </c>
      <c r="E77" s="2">
        <v>31.0</v>
      </c>
      <c r="F77" s="2" t="s">
        <v>43</v>
      </c>
      <c r="G77" s="2" t="s">
        <v>54</v>
      </c>
    </row>
    <row r="78" ht="15.75" customHeight="1">
      <c r="A78" s="2" t="s">
        <v>118</v>
      </c>
      <c r="B78" s="2" t="s">
        <v>66</v>
      </c>
      <c r="C78" s="2" t="s">
        <v>10</v>
      </c>
      <c r="D78" s="2" t="s">
        <v>14</v>
      </c>
      <c r="E78" s="2">
        <v>30.0</v>
      </c>
      <c r="F78" s="2" t="s">
        <v>32</v>
      </c>
      <c r="G78" s="2" t="s">
        <v>12</v>
      </c>
    </row>
    <row r="79" ht="15.75" customHeight="1">
      <c r="A79" s="2" t="s">
        <v>119</v>
      </c>
      <c r="B79" s="2" t="s">
        <v>66</v>
      </c>
      <c r="C79" s="2" t="s">
        <v>50</v>
      </c>
      <c r="D79" s="2" t="s">
        <v>19</v>
      </c>
      <c r="E79" s="2">
        <v>51.0</v>
      </c>
      <c r="F79" s="2" t="s">
        <v>11</v>
      </c>
      <c r="G79" s="2" t="s">
        <v>28</v>
      </c>
    </row>
    <row r="80" ht="15.75" customHeight="1">
      <c r="A80" s="2" t="s">
        <v>120</v>
      </c>
      <c r="B80" s="2" t="s">
        <v>66</v>
      </c>
      <c r="C80" s="2" t="s">
        <v>15</v>
      </c>
      <c r="D80" s="2" t="s">
        <v>38</v>
      </c>
      <c r="E80" s="2">
        <v>30.0</v>
      </c>
      <c r="F80" s="2" t="s">
        <v>25</v>
      </c>
      <c r="G80" s="2" t="s">
        <v>51</v>
      </c>
    </row>
    <row r="81" ht="15.75" customHeight="1">
      <c r="A81" s="2" t="s">
        <v>121</v>
      </c>
      <c r="B81" s="2" t="s">
        <v>66</v>
      </c>
      <c r="C81" s="2" t="s">
        <v>19</v>
      </c>
      <c r="D81" s="2" t="s">
        <v>38</v>
      </c>
      <c r="E81" s="2">
        <v>59.0</v>
      </c>
      <c r="F81" s="2" t="s">
        <v>25</v>
      </c>
      <c r="G81" s="2" t="s">
        <v>40</v>
      </c>
    </row>
    <row r="82" ht="15.75" customHeight="1">
      <c r="A82" s="2" t="s">
        <v>122</v>
      </c>
      <c r="B82" s="2" t="s">
        <v>66</v>
      </c>
      <c r="C82" s="2" t="s">
        <v>23</v>
      </c>
      <c r="D82" s="2" t="s">
        <v>24</v>
      </c>
      <c r="E82" s="2">
        <v>38.0</v>
      </c>
      <c r="F82" s="2" t="s">
        <v>43</v>
      </c>
      <c r="G82" s="2" t="s">
        <v>40</v>
      </c>
    </row>
    <row r="83" ht="15.75" customHeight="1">
      <c r="A83" s="2" t="s">
        <v>123</v>
      </c>
      <c r="B83" s="2" t="s">
        <v>66</v>
      </c>
      <c r="C83" s="2" t="s">
        <v>50</v>
      </c>
      <c r="D83" s="2" t="s">
        <v>10</v>
      </c>
      <c r="E83" s="2">
        <v>30.0</v>
      </c>
      <c r="F83" s="2" t="s">
        <v>35</v>
      </c>
      <c r="G83" s="2" t="s">
        <v>54</v>
      </c>
    </row>
    <row r="84" ht="15.75" customHeight="1">
      <c r="A84" s="2" t="s">
        <v>124</v>
      </c>
      <c r="B84" s="2" t="s">
        <v>66</v>
      </c>
      <c r="C84" s="2" t="s">
        <v>50</v>
      </c>
      <c r="D84" s="2" t="s">
        <v>30</v>
      </c>
      <c r="E84" s="2">
        <v>29.0</v>
      </c>
      <c r="F84" s="2" t="s">
        <v>25</v>
      </c>
      <c r="G84" s="2" t="s">
        <v>36</v>
      </c>
    </row>
    <row r="85" ht="15.75" customHeight="1">
      <c r="A85" s="2" t="s">
        <v>125</v>
      </c>
      <c r="B85" s="2" t="s">
        <v>66</v>
      </c>
      <c r="C85" s="2" t="s">
        <v>15</v>
      </c>
      <c r="D85" s="2" t="s">
        <v>15</v>
      </c>
      <c r="E85" s="2">
        <v>52.0</v>
      </c>
      <c r="F85" s="2" t="s">
        <v>25</v>
      </c>
      <c r="G85" s="2" t="s">
        <v>36</v>
      </c>
    </row>
    <row r="86" ht="15.75" customHeight="1">
      <c r="A86" s="2" t="s">
        <v>126</v>
      </c>
      <c r="B86" s="2" t="s">
        <v>66</v>
      </c>
      <c r="C86" s="2" t="s">
        <v>9</v>
      </c>
      <c r="D86" s="2" t="s">
        <v>31</v>
      </c>
      <c r="E86" s="2">
        <v>37.0</v>
      </c>
      <c r="F86" s="2" t="s">
        <v>48</v>
      </c>
      <c r="G86" s="2" t="s">
        <v>17</v>
      </c>
    </row>
    <row r="87" ht="15.75" customHeight="1">
      <c r="A87" s="2" t="s">
        <v>127</v>
      </c>
      <c r="B87" s="2" t="s">
        <v>66</v>
      </c>
      <c r="C87" s="2" t="s">
        <v>15</v>
      </c>
      <c r="D87" s="2" t="s">
        <v>10</v>
      </c>
      <c r="E87" s="2">
        <v>33.0</v>
      </c>
      <c r="F87" s="2" t="s">
        <v>48</v>
      </c>
      <c r="G87" s="2" t="s">
        <v>21</v>
      </c>
    </row>
    <row r="88" ht="15.75" customHeight="1">
      <c r="A88" s="2" t="s">
        <v>128</v>
      </c>
      <c r="B88" s="2" t="s">
        <v>66</v>
      </c>
      <c r="C88" s="2" t="s">
        <v>23</v>
      </c>
      <c r="D88" s="2" t="s">
        <v>31</v>
      </c>
      <c r="E88" s="2">
        <v>28.0</v>
      </c>
      <c r="F88" s="2" t="s">
        <v>39</v>
      </c>
      <c r="G88" s="2" t="s">
        <v>21</v>
      </c>
    </row>
    <row r="89" ht="15.75" customHeight="1">
      <c r="A89" s="2" t="s">
        <v>129</v>
      </c>
      <c r="B89" s="2" t="s">
        <v>66</v>
      </c>
      <c r="C89" s="2" t="s">
        <v>23</v>
      </c>
      <c r="D89" s="2" t="s">
        <v>15</v>
      </c>
      <c r="E89" s="2">
        <v>39.0</v>
      </c>
      <c r="F89" s="2" t="s">
        <v>11</v>
      </c>
      <c r="G89" s="2" t="s">
        <v>63</v>
      </c>
    </row>
    <row r="90" ht="15.75" customHeight="1">
      <c r="A90" s="2" t="s">
        <v>130</v>
      </c>
      <c r="B90" s="2" t="s">
        <v>66</v>
      </c>
      <c r="C90" s="2" t="s">
        <v>50</v>
      </c>
      <c r="D90" s="2" t="s">
        <v>19</v>
      </c>
      <c r="E90" s="2">
        <v>18.0</v>
      </c>
      <c r="F90" s="2" t="s">
        <v>32</v>
      </c>
      <c r="G90" s="2" t="s">
        <v>12</v>
      </c>
    </row>
    <row r="91" ht="15.75" customHeight="1">
      <c r="A91" s="2" t="s">
        <v>131</v>
      </c>
      <c r="B91" s="2" t="s">
        <v>66</v>
      </c>
      <c r="C91" s="2" t="s">
        <v>23</v>
      </c>
      <c r="D91" s="2" t="s">
        <v>38</v>
      </c>
      <c r="E91" s="2">
        <v>57.0</v>
      </c>
      <c r="F91" s="2" t="s">
        <v>27</v>
      </c>
      <c r="G91" s="2" t="s">
        <v>46</v>
      </c>
    </row>
    <row r="92" ht="15.75" customHeight="1">
      <c r="A92" s="2" t="s">
        <v>132</v>
      </c>
      <c r="B92" s="2" t="s">
        <v>66</v>
      </c>
      <c r="C92" s="2" t="s">
        <v>30</v>
      </c>
      <c r="D92" s="2" t="s">
        <v>31</v>
      </c>
      <c r="E92" s="2">
        <v>49.0</v>
      </c>
      <c r="F92" s="2" t="s">
        <v>20</v>
      </c>
      <c r="G92" s="2" t="s">
        <v>21</v>
      </c>
    </row>
    <row r="93" ht="15.75" customHeight="1">
      <c r="A93" s="2" t="s">
        <v>133</v>
      </c>
      <c r="B93" s="2" t="s">
        <v>66</v>
      </c>
      <c r="C93" s="2" t="s">
        <v>10</v>
      </c>
      <c r="D93" s="2" t="s">
        <v>38</v>
      </c>
      <c r="E93" s="2">
        <v>53.0</v>
      </c>
      <c r="F93" s="2" t="s">
        <v>48</v>
      </c>
      <c r="G93" s="2" t="s">
        <v>28</v>
      </c>
    </row>
    <row r="94" ht="15.75" customHeight="1">
      <c r="A94" s="2" t="s">
        <v>134</v>
      </c>
      <c r="B94" s="2" t="s">
        <v>66</v>
      </c>
      <c r="C94" s="2" t="s">
        <v>38</v>
      </c>
      <c r="D94" s="2" t="s">
        <v>74</v>
      </c>
      <c r="E94" s="2">
        <v>30.0</v>
      </c>
      <c r="F94" s="2" t="s">
        <v>35</v>
      </c>
      <c r="G94" s="2" t="s">
        <v>40</v>
      </c>
    </row>
    <row r="95" ht="15.75" customHeight="1">
      <c r="A95" s="2" t="s">
        <v>135</v>
      </c>
      <c r="B95" s="2" t="s">
        <v>66</v>
      </c>
      <c r="C95" s="2" t="s">
        <v>14</v>
      </c>
      <c r="D95" s="2" t="s">
        <v>38</v>
      </c>
      <c r="E95" s="2">
        <v>47.0</v>
      </c>
      <c r="F95" s="2" t="s">
        <v>27</v>
      </c>
      <c r="G95" s="2" t="s">
        <v>54</v>
      </c>
    </row>
    <row r="96" ht="15.75" customHeight="1">
      <c r="A96" s="2" t="s">
        <v>136</v>
      </c>
      <c r="B96" s="2" t="s">
        <v>66</v>
      </c>
      <c r="C96" s="2" t="s">
        <v>15</v>
      </c>
      <c r="D96" s="2" t="s">
        <v>38</v>
      </c>
      <c r="E96" s="2">
        <v>58.0</v>
      </c>
      <c r="F96" s="2" t="s">
        <v>32</v>
      </c>
      <c r="G96" s="2" t="s">
        <v>17</v>
      </c>
    </row>
    <row r="97" ht="15.75" customHeight="1">
      <c r="A97" s="2" t="s">
        <v>137</v>
      </c>
      <c r="B97" s="2" t="s">
        <v>66</v>
      </c>
      <c r="C97" s="2" t="s">
        <v>38</v>
      </c>
      <c r="D97" s="2" t="s">
        <v>24</v>
      </c>
      <c r="E97" s="2">
        <v>25.0</v>
      </c>
      <c r="F97" s="2" t="s">
        <v>11</v>
      </c>
      <c r="G97" s="2" t="s">
        <v>51</v>
      </c>
    </row>
    <row r="98" ht="15.75" customHeight="1">
      <c r="A98" s="2" t="s">
        <v>138</v>
      </c>
      <c r="B98" s="2" t="s">
        <v>66</v>
      </c>
      <c r="C98" s="2" t="s">
        <v>30</v>
      </c>
      <c r="D98" s="2" t="s">
        <v>31</v>
      </c>
      <c r="E98" s="2">
        <v>25.0</v>
      </c>
      <c r="F98" s="2" t="s">
        <v>32</v>
      </c>
      <c r="G98" s="2" t="s">
        <v>63</v>
      </c>
    </row>
    <row r="99" ht="15.75" customHeight="1">
      <c r="A99" s="2" t="s">
        <v>139</v>
      </c>
      <c r="B99" s="2" t="s">
        <v>66</v>
      </c>
      <c r="C99" s="2" t="s">
        <v>34</v>
      </c>
      <c r="D99" s="2" t="s">
        <v>24</v>
      </c>
      <c r="E99" s="2">
        <v>36.0</v>
      </c>
      <c r="F99" s="2" t="s">
        <v>32</v>
      </c>
      <c r="G99" s="2" t="s">
        <v>21</v>
      </c>
    </row>
    <row r="100" ht="15.75" customHeight="1">
      <c r="A100" s="2" t="s">
        <v>140</v>
      </c>
      <c r="B100" s="2" t="s">
        <v>66</v>
      </c>
      <c r="C100" s="2" t="s">
        <v>15</v>
      </c>
      <c r="D100" s="2" t="s">
        <v>10</v>
      </c>
      <c r="E100" s="2">
        <v>21.0</v>
      </c>
      <c r="F100" s="2" t="s">
        <v>27</v>
      </c>
      <c r="G100" s="2" t="s">
        <v>54</v>
      </c>
    </row>
    <row r="101" ht="15.75" customHeight="1">
      <c r="A101" s="2" t="s">
        <v>141</v>
      </c>
      <c r="B101" s="2" t="s">
        <v>66</v>
      </c>
      <c r="C101" s="2" t="s">
        <v>38</v>
      </c>
      <c r="D101" s="2" t="s">
        <v>10</v>
      </c>
      <c r="E101" s="2">
        <v>56.0</v>
      </c>
      <c r="F101" s="2" t="s">
        <v>11</v>
      </c>
      <c r="G101" s="2" t="s">
        <v>40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63"/>
    <col customWidth="1" min="2" max="2" width="12.63"/>
    <col customWidth="1" min="3" max="3" width="14.38"/>
    <col customWidth="1" min="4" max="4" width="16.5"/>
    <col customWidth="1" min="5" max="5" width="16.63"/>
    <col customWidth="1" min="6" max="6" width="12.63"/>
    <col customWidth="1" min="7" max="7" width="13.5"/>
  </cols>
  <sheetData>
    <row r="1" ht="15.75" customHeight="1">
      <c r="A1" s="3" t="s">
        <v>0</v>
      </c>
      <c r="B1" s="3" t="s">
        <v>4</v>
      </c>
      <c r="C1" s="3" t="s">
        <v>3</v>
      </c>
      <c r="D1" s="3" t="s">
        <v>142</v>
      </c>
      <c r="E1" s="3" t="s">
        <v>143</v>
      </c>
      <c r="F1" s="3" t="s">
        <v>1</v>
      </c>
      <c r="G1" s="3" t="s">
        <v>2</v>
      </c>
    </row>
    <row r="2" ht="15.75" customHeight="1">
      <c r="A2" s="4" t="s">
        <v>125</v>
      </c>
      <c r="B2" s="5">
        <f>VLOOKUP(A2,'Raw Data -2'!A1:G101,5,FALSE)</f>
        <v>52</v>
      </c>
      <c r="C2" s="4" t="str">
        <f>VLOOKUP(A2,'Raw Data -2'!A1:G115,4,FALSE)</f>
        <v>Delhi</v>
      </c>
      <c r="D2" s="4" t="str">
        <f>VLOOKUP(A2,'Raw Data -2'!A1:G101,6,FALSE)</f>
        <v>Coconut Water</v>
      </c>
      <c r="E2" s="4" t="str">
        <f>VLOOKUP(A2,'Raw Data -2'!A1:G101,7,FALSE)</f>
        <v>Paneer Tikka</v>
      </c>
      <c r="F2" s="4" t="str">
        <f>VLOOKUP(A2,'Raw Data -2'!A1:G101,2,FALSE)</f>
        <v>Female</v>
      </c>
      <c r="G2" s="4" t="str">
        <f>VLOOKUP(A2,'Raw Data -2'!A1:G101,3,FALSE)</f>
        <v>Delhi</v>
      </c>
    </row>
    <row r="3" ht="15.75" customHeight="1">
      <c r="A3" s="4" t="s">
        <v>95</v>
      </c>
      <c r="B3" s="5">
        <f>VLOOKUP(A3,'Raw Data -2'!A2:G102,5,FALSE)</f>
        <v>32</v>
      </c>
      <c r="C3" s="4" t="str">
        <f>VLOOKUP(A3,'Raw Data -2'!A2:G116,4,FALSE)</f>
        <v>Pune</v>
      </c>
      <c r="D3" s="4" t="str">
        <f>VLOOKUP(A3,'Raw Data -2'!A2:G102,6,FALSE)</f>
        <v>Whisky</v>
      </c>
      <c r="E3" s="4" t="str">
        <f>VLOOKUP(A3,'Raw Data -2'!A2:G102,7,FALSE)</f>
        <v>Chole Bhature</v>
      </c>
      <c r="F3" s="4" t="str">
        <f>VLOOKUP(A3,'Raw Data -2'!A2:G102,2,FALSE)</f>
        <v>Male</v>
      </c>
      <c r="G3" s="4" t="str">
        <f>VLOOKUP(A3,'Raw Data -2'!A2:G102,3,FALSE)</f>
        <v>Bangalore</v>
      </c>
    </row>
    <row r="4" ht="15.75" customHeight="1">
      <c r="A4" s="4" t="s">
        <v>112</v>
      </c>
      <c r="B4" s="5">
        <f>VLOOKUP(A4,'Raw Data -2'!A3:G103,5,FALSE)</f>
        <v>48</v>
      </c>
      <c r="C4" s="4" t="str">
        <f>VLOOKUP(A4,'Raw Data -2'!A3:G117,4,FALSE)</f>
        <v>Chennai</v>
      </c>
      <c r="D4" s="4" t="str">
        <f>VLOOKUP(A4,'Raw Data -2'!A3:G103,6,FALSE)</f>
        <v>Lassi</v>
      </c>
      <c r="E4" s="4" t="str">
        <f>VLOOKUP(A4,'Raw Data -2'!A3:G103,7,FALSE)</f>
        <v>Paneer Tikka</v>
      </c>
      <c r="F4" s="4" t="str">
        <f>VLOOKUP(A4,'Raw Data -2'!A3:G103,2,FALSE)</f>
        <v>Male</v>
      </c>
      <c r="G4" s="4" t="str">
        <f>VLOOKUP(A4,'Raw Data -2'!A3:G103,3,FALSE)</f>
        <v>Hyderabad</v>
      </c>
    </row>
    <row r="5" ht="15.75" customHeight="1">
      <c r="A5" s="4" t="s">
        <v>87</v>
      </c>
      <c r="B5" s="5">
        <f>VLOOKUP(A5,'Raw Data -2'!A4:G104,5,FALSE)</f>
        <v>42</v>
      </c>
      <c r="C5" s="4" t="str">
        <f>VLOOKUP(A5,'Raw Data -2'!A4:G118,4,FALSE)</f>
        <v>Hyderabad</v>
      </c>
      <c r="D5" s="4" t="str">
        <f>VLOOKUP(A5,'Raw Data -2'!A4:G104,6,FALSE)</f>
        <v>Beer</v>
      </c>
      <c r="E5" s="4" t="str">
        <f>VLOOKUP(A5,'Raw Data -2'!A4:G104,7,FALSE)</f>
        <v>Pani Puri</v>
      </c>
      <c r="F5" s="4" t="str">
        <f>VLOOKUP(A5,'Raw Data -2'!A4:G104,2,FALSE)</f>
        <v>Female</v>
      </c>
      <c r="G5" s="4" t="str">
        <f>VLOOKUP(A5,'Raw Data -2'!A4:G104,3,FALSE)</f>
        <v>Lucknow</v>
      </c>
    </row>
    <row r="6" ht="15.75" customHeight="1">
      <c r="A6" s="4" t="s">
        <v>86</v>
      </c>
      <c r="B6" s="5">
        <f>VLOOKUP(A6,'Raw Data -2'!A5:G105,5,FALSE)</f>
        <v>45</v>
      </c>
      <c r="C6" s="4" t="str">
        <f>VLOOKUP(A6,'Raw Data -2'!A5:G119,4,FALSE)</f>
        <v>Kolkata</v>
      </c>
      <c r="D6" s="4" t="str">
        <f>VLOOKUP(A6,'Raw Data -2'!A5:G105,6,FALSE)</f>
        <v>Masala Chai</v>
      </c>
      <c r="E6" s="4" t="str">
        <f>VLOOKUP(A6,'Raw Data -2'!A5:G105,7,FALSE)</f>
        <v>Pav Bhaji</v>
      </c>
      <c r="F6" s="4" t="str">
        <f>VLOOKUP(A6,'Raw Data -2'!A5:G105,2,FALSE)</f>
        <v>Female</v>
      </c>
      <c r="G6" s="4" t="str">
        <f>VLOOKUP(A6,'Raw Data -2'!A5:G105,3,FALSE)</f>
        <v>Pune</v>
      </c>
    </row>
    <row r="7" ht="15.75" customHeight="1">
      <c r="A7" s="4" t="s">
        <v>81</v>
      </c>
      <c r="B7" s="5">
        <f>VLOOKUP(A7,'Raw Data -2'!A6:G106,5,FALSE)</f>
        <v>35</v>
      </c>
      <c r="C7" s="4" t="str">
        <f>VLOOKUP(A7,'Raw Data -2'!A6:G120,4,FALSE)</f>
        <v>Bangalore</v>
      </c>
      <c r="D7" s="4" t="str">
        <f>VLOOKUP(A7,'Raw Data -2'!A6:G106,6,FALSE)</f>
        <v>Gin &amp; Tonic</v>
      </c>
      <c r="E7" s="4" t="str">
        <f>VLOOKUP(A7,'Raw Data -2'!A6:G106,7,FALSE)</f>
        <v>Masala Dosa</v>
      </c>
      <c r="F7" s="4" t="str">
        <f>VLOOKUP(A7,'Raw Data -2'!A6:G106,2,FALSE)</f>
        <v>Female</v>
      </c>
      <c r="G7" s="4" t="str">
        <f>VLOOKUP(A7,'Raw Data -2'!A6:G106,3,FALSE)</f>
        <v>Ahmedabad</v>
      </c>
    </row>
    <row r="8" ht="15.75" customHeight="1">
      <c r="A8" s="4" t="s">
        <v>61</v>
      </c>
      <c r="B8" s="5">
        <f>VLOOKUP(A8,'Raw Data -2'!A7:G107,5,FALSE)</f>
        <v>20</v>
      </c>
      <c r="C8" s="4" t="str">
        <f>VLOOKUP(A8,'Raw Data -2'!A7:G121,4,FALSE)</f>
        <v>Kolkata</v>
      </c>
      <c r="D8" s="4" t="str">
        <f>VLOOKUP(A8,'Raw Data -2'!A7:G107,6,FALSE)</f>
        <v>Thandai</v>
      </c>
      <c r="E8" s="4" t="str">
        <f>VLOOKUP(A8,'Raw Data -2'!A7:G107,7,FALSE)</f>
        <v>Butter Chicken</v>
      </c>
      <c r="F8" s="4" t="str">
        <f>VLOOKUP(A8,'Raw Data -2'!A7:G107,2,FALSE)</f>
        <v>Male</v>
      </c>
      <c r="G8" s="4" t="str">
        <f>VLOOKUP(A8,'Raw Data -2'!A7:G107,3,FALSE)</f>
        <v>Jaipur</v>
      </c>
    </row>
    <row r="9" ht="15.75" customHeight="1">
      <c r="A9" s="4" t="s">
        <v>122</v>
      </c>
      <c r="B9" s="5">
        <f>VLOOKUP(A9,'Raw Data -2'!A8:G108,5,FALSE)</f>
        <v>38</v>
      </c>
      <c r="C9" s="4" t="str">
        <f>VLOOKUP(A9,'Raw Data -2'!A8:G122,4,FALSE)</f>
        <v>Gurgaon</v>
      </c>
      <c r="D9" s="4" t="str">
        <f>VLOOKUP(A9,'Raw Data -2'!A8:G108,6,FALSE)</f>
        <v>Filter Coffee</v>
      </c>
      <c r="E9" s="4" t="str">
        <f>VLOOKUP(A9,'Raw Data -2'!A8:G108,7,FALSE)</f>
        <v>Masala Dosa</v>
      </c>
      <c r="F9" s="4" t="str">
        <f>VLOOKUP(A9,'Raw Data -2'!A8:G108,2,FALSE)</f>
        <v>Female</v>
      </c>
      <c r="G9" s="4" t="str">
        <f>VLOOKUP(A9,'Raw Data -2'!A8:G108,3,FALSE)</f>
        <v>Lucknow</v>
      </c>
    </row>
    <row r="10" ht="15.75" customHeight="1">
      <c r="A10" s="4" t="s">
        <v>44</v>
      </c>
      <c r="B10" s="5">
        <f>VLOOKUP(A10,'Raw Data -2'!A9:G109,5,FALSE)</f>
        <v>53</v>
      </c>
      <c r="C10" s="4" t="str">
        <f>VLOOKUP(A10,'Raw Data -2'!A9:G123,4,FALSE)</f>
        <v>Gurgaon</v>
      </c>
      <c r="D10" s="4" t="str">
        <f>VLOOKUP(A10,'Raw Data -2'!A9:G109,6,FALSE)</f>
        <v>Masala Chai</v>
      </c>
      <c r="E10" s="4" t="str">
        <f>VLOOKUP(A10,'Raw Data -2'!A9:G109,7,FALSE)</f>
        <v>Vada Pav</v>
      </c>
      <c r="F10" s="4" t="str">
        <f>VLOOKUP(A10,'Raw Data -2'!A9:G109,2,FALSE)</f>
        <v>Male</v>
      </c>
      <c r="G10" s="4" t="str">
        <f>VLOOKUP(A10,'Raw Data -2'!A9:G109,3,FALSE)</f>
        <v>Chennai</v>
      </c>
    </row>
    <row r="11" ht="15.75" customHeight="1">
      <c r="A11" s="4" t="s">
        <v>7</v>
      </c>
      <c r="B11" s="5">
        <f>VLOOKUP(A11,'Raw Data -2'!A1:G101,5,FALSE)</f>
        <v>50</v>
      </c>
      <c r="C11" s="4" t="str">
        <f>VLOOKUP(A11,'Raw Data -2'!A1:G101,4,FALSE)</f>
        <v>Pune</v>
      </c>
      <c r="D11" s="4" t="str">
        <f>VLOOKUP(A11,'Raw Data -2'!A1:G101,6,FALSE)</f>
        <v>Gin &amp; Tonic</v>
      </c>
      <c r="E11" s="4" t="str">
        <f>VLOOKUP(A11,'Raw Data -2'!A1:G101,7,FALSE)</f>
        <v>Pav Bhaji</v>
      </c>
      <c r="F11" s="4" t="str">
        <f>VLOOKUP(A11,'Raw Data -2'!A1:G101,2,FALSE)</f>
        <v>Male</v>
      </c>
      <c r="G11" s="4" t="str">
        <f>VLOOKUP(A11,'Raw Data -2'!A1:G101,3,FALSE)</f>
        <v>Jaipur</v>
      </c>
    </row>
    <row r="12" ht="15.75" customHeight="1">
      <c r="B12" s="6"/>
    </row>
    <row r="13" ht="15.75" customHeight="1">
      <c r="A13" s="4" t="s">
        <v>144</v>
      </c>
      <c r="B13" s="6"/>
    </row>
    <row r="14" ht="15.75" customHeight="1">
      <c r="A14" s="4" t="s">
        <v>145</v>
      </c>
      <c r="B14" s="6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7" t="s">
        <v>146</v>
      </c>
      <c r="B1" s="7" t="s">
        <v>147</v>
      </c>
      <c r="C1" s="7" t="s">
        <v>148</v>
      </c>
      <c r="D1" s="7" t="s">
        <v>149</v>
      </c>
      <c r="E1" s="7" t="s">
        <v>150</v>
      </c>
      <c r="F1" s="7" t="s">
        <v>151</v>
      </c>
      <c r="G1" s="7" t="s">
        <v>152</v>
      </c>
      <c r="H1" s="7" t="s">
        <v>153</v>
      </c>
    </row>
    <row r="2" ht="15.75" customHeight="1">
      <c r="A2" s="8">
        <v>1001.0</v>
      </c>
      <c r="B2" s="9">
        <v>45383.0</v>
      </c>
      <c r="C2" s="10" t="s">
        <v>154</v>
      </c>
      <c r="D2" s="10" t="s">
        <v>155</v>
      </c>
      <c r="E2" s="10" t="s">
        <v>156</v>
      </c>
      <c r="F2" s="8">
        <v>3.0</v>
      </c>
      <c r="G2" s="8">
        <v>45000.0</v>
      </c>
      <c r="H2" s="8">
        <v>135000.0</v>
      </c>
    </row>
    <row r="3" ht="15.75" customHeight="1">
      <c r="A3" s="8">
        <v>1002.0</v>
      </c>
      <c r="B3" s="9">
        <v>45384.0</v>
      </c>
      <c r="C3" s="10" t="s">
        <v>157</v>
      </c>
      <c r="D3" s="10" t="s">
        <v>158</v>
      </c>
      <c r="E3" s="10" t="s">
        <v>159</v>
      </c>
      <c r="F3" s="8">
        <v>5.0</v>
      </c>
      <c r="G3" s="8">
        <v>18000.0</v>
      </c>
      <c r="H3" s="8">
        <v>90000.0</v>
      </c>
    </row>
    <row r="4" ht="15.75" customHeight="1">
      <c r="A4" s="8">
        <v>1003.0</v>
      </c>
      <c r="B4" s="9">
        <v>45384.0</v>
      </c>
      <c r="C4" s="10" t="s">
        <v>160</v>
      </c>
      <c r="D4" s="10" t="s">
        <v>161</v>
      </c>
      <c r="E4" s="10" t="s">
        <v>162</v>
      </c>
      <c r="F4" s="8">
        <v>2.0</v>
      </c>
      <c r="G4" s="8">
        <v>25000.0</v>
      </c>
      <c r="H4" s="8">
        <v>50000.0</v>
      </c>
    </row>
    <row r="5" ht="15.75" customHeight="1">
      <c r="A5" s="8">
        <v>1004.0</v>
      </c>
      <c r="B5" s="9">
        <v>45385.0</v>
      </c>
      <c r="C5" s="10" t="s">
        <v>163</v>
      </c>
      <c r="D5" s="10" t="s">
        <v>164</v>
      </c>
      <c r="E5" s="10" t="s">
        <v>156</v>
      </c>
      <c r="F5" s="8">
        <v>1.0</v>
      </c>
      <c r="G5" s="8">
        <v>45000.0</v>
      </c>
      <c r="H5" s="8">
        <v>45000.0</v>
      </c>
    </row>
    <row r="6" ht="15.75" customHeight="1">
      <c r="A6" s="8">
        <v>1005.0</v>
      </c>
      <c r="B6" s="9">
        <v>45386.0</v>
      </c>
      <c r="C6" s="10" t="s">
        <v>154</v>
      </c>
      <c r="D6" s="10" t="s">
        <v>155</v>
      </c>
      <c r="E6" s="10" t="s">
        <v>159</v>
      </c>
      <c r="F6" s="8">
        <v>4.0</v>
      </c>
      <c r="G6" s="8">
        <v>18000.0</v>
      </c>
      <c r="H6" s="8">
        <v>72000.0</v>
      </c>
    </row>
    <row r="7" ht="15.75" customHeight="1">
      <c r="A7" s="8">
        <v>1006.0</v>
      </c>
      <c r="B7" s="9">
        <v>45387.0</v>
      </c>
      <c r="C7" s="10" t="s">
        <v>157</v>
      </c>
      <c r="D7" s="10" t="s">
        <v>158</v>
      </c>
      <c r="E7" s="10" t="s">
        <v>162</v>
      </c>
      <c r="F7" s="8">
        <v>6.0</v>
      </c>
      <c r="G7" s="8">
        <v>25000.0</v>
      </c>
      <c r="H7" s="8">
        <v>150000.0</v>
      </c>
    </row>
    <row r="8" ht="15.75" customHeight="1">
      <c r="A8" s="8">
        <v>1007.0</v>
      </c>
      <c r="B8" s="9">
        <v>45388.0</v>
      </c>
      <c r="C8" s="10" t="s">
        <v>160</v>
      </c>
      <c r="D8" s="10" t="s">
        <v>161</v>
      </c>
      <c r="E8" s="10" t="s">
        <v>156</v>
      </c>
      <c r="F8" s="8">
        <v>2.0</v>
      </c>
      <c r="G8" s="8">
        <v>45000.0</v>
      </c>
      <c r="H8" s="8">
        <v>90000.0</v>
      </c>
    </row>
    <row r="9" ht="15.75" customHeight="1">
      <c r="A9" s="8">
        <v>1008.0</v>
      </c>
      <c r="B9" s="9">
        <v>45388.0</v>
      </c>
      <c r="C9" s="10" t="s">
        <v>163</v>
      </c>
      <c r="D9" s="10" t="s">
        <v>164</v>
      </c>
      <c r="E9" s="10" t="s">
        <v>159</v>
      </c>
      <c r="F9" s="8">
        <v>3.0</v>
      </c>
      <c r="G9" s="8">
        <v>18000.0</v>
      </c>
      <c r="H9" s="8">
        <v>54000.0</v>
      </c>
    </row>
    <row r="10" ht="15.75" customHeight="1">
      <c r="A10" s="8">
        <v>1009.0</v>
      </c>
      <c r="B10" s="9">
        <v>45505.0</v>
      </c>
      <c r="C10" s="10" t="s">
        <v>154</v>
      </c>
      <c r="D10" s="10" t="s">
        <v>155</v>
      </c>
      <c r="E10" s="10" t="s">
        <v>162</v>
      </c>
      <c r="F10" s="8">
        <v>5.0</v>
      </c>
      <c r="G10" s="8">
        <v>25000.0</v>
      </c>
      <c r="H10" s="8">
        <v>125000.0</v>
      </c>
    </row>
    <row r="11" ht="15.75" customHeight="1">
      <c r="A11" s="8">
        <v>1010.0</v>
      </c>
      <c r="B11" s="9">
        <v>45506.0</v>
      </c>
      <c r="C11" s="10" t="s">
        <v>157</v>
      </c>
      <c r="D11" s="10" t="s">
        <v>158</v>
      </c>
      <c r="E11" s="10" t="s">
        <v>156</v>
      </c>
      <c r="F11" s="8">
        <v>2.0</v>
      </c>
      <c r="G11" s="8">
        <v>45000.0</v>
      </c>
      <c r="H11" s="8">
        <v>90000.0</v>
      </c>
    </row>
    <row r="12" ht="15.75" customHeight="1">
      <c r="A12" s="8">
        <v>1011.0</v>
      </c>
      <c r="B12" s="9">
        <v>45507.0</v>
      </c>
      <c r="C12" s="11" t="s">
        <v>163</v>
      </c>
      <c r="D12" s="11" t="s">
        <v>165</v>
      </c>
      <c r="E12" s="10" t="s">
        <v>156</v>
      </c>
      <c r="F12" s="8">
        <v>3.0</v>
      </c>
      <c r="G12" s="8">
        <v>45000.0</v>
      </c>
      <c r="H12" s="8">
        <v>135000.0</v>
      </c>
    </row>
    <row r="13" ht="15.75" customHeight="1">
      <c r="A13" s="8">
        <v>1012.0</v>
      </c>
      <c r="B13" s="9">
        <v>45508.0</v>
      </c>
      <c r="C13" s="11" t="s">
        <v>163</v>
      </c>
      <c r="D13" s="11" t="s">
        <v>166</v>
      </c>
      <c r="E13" s="10" t="s">
        <v>159</v>
      </c>
      <c r="F13" s="8">
        <v>5.0</v>
      </c>
      <c r="G13" s="8">
        <v>18000.0</v>
      </c>
      <c r="H13" s="8">
        <v>90000.0</v>
      </c>
    </row>
    <row r="14" ht="15.75" customHeight="1">
      <c r="A14" s="8">
        <v>1013.0</v>
      </c>
      <c r="B14" s="9">
        <v>45509.0</v>
      </c>
      <c r="C14" s="11" t="s">
        <v>154</v>
      </c>
      <c r="D14" s="11" t="s">
        <v>167</v>
      </c>
      <c r="E14" s="10" t="s">
        <v>162</v>
      </c>
      <c r="F14" s="8">
        <v>2.0</v>
      </c>
      <c r="G14" s="8">
        <v>25000.0</v>
      </c>
      <c r="H14" s="8">
        <v>50000.0</v>
      </c>
    </row>
    <row r="15" ht="15.75" customHeight="1">
      <c r="A15" s="8">
        <v>1014.0</v>
      </c>
      <c r="B15" s="9">
        <v>45510.0</v>
      </c>
      <c r="C15" s="11" t="s">
        <v>160</v>
      </c>
      <c r="D15" s="11" t="s">
        <v>168</v>
      </c>
      <c r="E15" s="10" t="s">
        <v>156</v>
      </c>
      <c r="F15" s="8">
        <v>1.0</v>
      </c>
      <c r="G15" s="8">
        <v>45000.0</v>
      </c>
      <c r="H15" s="8">
        <v>45000.0</v>
      </c>
    </row>
    <row r="16" ht="15.75" customHeight="1">
      <c r="A16" s="8">
        <v>1015.0</v>
      </c>
      <c r="B16" s="9">
        <v>45511.0</v>
      </c>
      <c r="C16" s="11" t="s">
        <v>157</v>
      </c>
      <c r="D16" s="11" t="s">
        <v>155</v>
      </c>
      <c r="E16" s="10" t="s">
        <v>159</v>
      </c>
      <c r="F16" s="8">
        <v>4.0</v>
      </c>
      <c r="G16" s="8">
        <v>18000.0</v>
      </c>
      <c r="H16" s="8">
        <v>72000.0</v>
      </c>
    </row>
    <row r="17" ht="15.75" customHeight="1">
      <c r="A17" s="8">
        <v>1016.0</v>
      </c>
      <c r="B17" s="9">
        <v>45512.0</v>
      </c>
      <c r="C17" s="11" t="s">
        <v>160</v>
      </c>
      <c r="D17" s="11" t="s">
        <v>169</v>
      </c>
      <c r="E17" s="10" t="s">
        <v>162</v>
      </c>
      <c r="F17" s="8">
        <v>6.0</v>
      </c>
      <c r="G17" s="8">
        <v>25000.0</v>
      </c>
      <c r="H17" s="8">
        <v>150000.0</v>
      </c>
    </row>
    <row r="18" ht="15.75" customHeight="1">
      <c r="A18" s="8">
        <v>1017.0</v>
      </c>
      <c r="B18" s="9">
        <v>45513.0</v>
      </c>
      <c r="C18" s="11" t="s">
        <v>163</v>
      </c>
      <c r="D18" s="11" t="s">
        <v>170</v>
      </c>
      <c r="E18" s="10" t="s">
        <v>156</v>
      </c>
      <c r="F18" s="8">
        <v>2.0</v>
      </c>
      <c r="G18" s="8">
        <v>45000.0</v>
      </c>
      <c r="H18" s="8">
        <v>90000.0</v>
      </c>
    </row>
    <row r="19" ht="15.75" customHeight="1">
      <c r="A19" s="8">
        <v>1018.0</v>
      </c>
      <c r="B19" s="9">
        <v>45514.0</v>
      </c>
      <c r="C19" s="11" t="s">
        <v>154</v>
      </c>
      <c r="D19" s="11" t="s">
        <v>161</v>
      </c>
      <c r="E19" s="10" t="s">
        <v>159</v>
      </c>
      <c r="F19" s="8">
        <v>3.0</v>
      </c>
      <c r="G19" s="8">
        <v>18000.0</v>
      </c>
      <c r="H19" s="8">
        <v>54000.0</v>
      </c>
    </row>
    <row r="20" ht="15.75" customHeight="1">
      <c r="A20" s="8">
        <v>1019.0</v>
      </c>
      <c r="B20" s="10" t="s">
        <v>171</v>
      </c>
      <c r="C20" s="11" t="s">
        <v>157</v>
      </c>
      <c r="D20" s="11" t="s">
        <v>172</v>
      </c>
      <c r="E20" s="10" t="s">
        <v>162</v>
      </c>
      <c r="F20" s="8">
        <v>5.0</v>
      </c>
      <c r="G20" s="8">
        <v>25000.0</v>
      </c>
      <c r="H20" s="8">
        <v>125000.0</v>
      </c>
    </row>
    <row r="21" ht="15.75" customHeight="1">
      <c r="A21" s="8">
        <v>1020.0</v>
      </c>
      <c r="B21" s="10" t="s">
        <v>173</v>
      </c>
      <c r="C21" s="11" t="s">
        <v>160</v>
      </c>
      <c r="D21" s="11" t="s">
        <v>161</v>
      </c>
      <c r="E21" s="10" t="s">
        <v>156</v>
      </c>
      <c r="F21" s="8">
        <v>2.0</v>
      </c>
      <c r="G21" s="8">
        <v>45000.0</v>
      </c>
      <c r="H21" s="8">
        <v>90000.0</v>
      </c>
    </row>
    <row r="22" ht="15.75" customHeight="1">
      <c r="A22" s="8">
        <v>1021.0</v>
      </c>
      <c r="B22" s="10" t="s">
        <v>174</v>
      </c>
      <c r="C22" s="11" t="s">
        <v>163</v>
      </c>
      <c r="D22" s="10" t="s">
        <v>164</v>
      </c>
      <c r="E22" s="10" t="s">
        <v>156</v>
      </c>
      <c r="F22" s="8">
        <v>3.0</v>
      </c>
      <c r="G22" s="8">
        <v>45000.0</v>
      </c>
      <c r="H22" s="8">
        <v>135000.0</v>
      </c>
    </row>
    <row r="23" ht="15.75" customHeight="1">
      <c r="A23" s="8">
        <v>1022.0</v>
      </c>
      <c r="B23" s="10" t="s">
        <v>175</v>
      </c>
      <c r="C23" s="11" t="s">
        <v>157</v>
      </c>
      <c r="D23" s="10" t="s">
        <v>155</v>
      </c>
      <c r="E23" s="10" t="s">
        <v>159</v>
      </c>
      <c r="F23" s="8">
        <v>5.0</v>
      </c>
      <c r="G23" s="8">
        <v>18000.0</v>
      </c>
      <c r="H23" s="8">
        <v>90000.0</v>
      </c>
    </row>
    <row r="24" ht="15.75" customHeight="1">
      <c r="A24" s="8">
        <v>1023.0</v>
      </c>
      <c r="B24" s="10" t="s">
        <v>176</v>
      </c>
      <c r="C24" s="11" t="s">
        <v>160</v>
      </c>
      <c r="D24" s="10" t="s">
        <v>158</v>
      </c>
      <c r="E24" s="10" t="s">
        <v>162</v>
      </c>
      <c r="F24" s="8">
        <v>2.0</v>
      </c>
      <c r="G24" s="8">
        <v>25000.0</v>
      </c>
      <c r="H24" s="8">
        <v>50000.0</v>
      </c>
    </row>
    <row r="25" ht="15.75" customHeight="1">
      <c r="A25" s="8">
        <v>1024.0</v>
      </c>
      <c r="B25" s="10" t="s">
        <v>177</v>
      </c>
      <c r="C25" s="11" t="s">
        <v>178</v>
      </c>
      <c r="D25" s="10" t="s">
        <v>161</v>
      </c>
      <c r="E25" s="10" t="s">
        <v>156</v>
      </c>
      <c r="F25" s="8">
        <v>1.0</v>
      </c>
      <c r="G25" s="8">
        <v>45000.0</v>
      </c>
      <c r="H25" s="8">
        <v>45000.0</v>
      </c>
    </row>
    <row r="26" ht="15.75" customHeight="1">
      <c r="A26" s="8">
        <v>1025.0</v>
      </c>
      <c r="B26" s="10" t="s">
        <v>179</v>
      </c>
      <c r="C26" s="11" t="s">
        <v>154</v>
      </c>
      <c r="D26" s="10" t="s">
        <v>164</v>
      </c>
      <c r="E26" s="10" t="s">
        <v>159</v>
      </c>
      <c r="F26" s="8">
        <v>4.0</v>
      </c>
      <c r="G26" s="8">
        <v>18000.0</v>
      </c>
      <c r="H26" s="8">
        <v>72000.0</v>
      </c>
    </row>
    <row r="27" ht="15.75" customHeight="1">
      <c r="A27" s="8">
        <v>1026.0</v>
      </c>
      <c r="B27" s="10" t="s">
        <v>180</v>
      </c>
      <c r="C27" s="11" t="s">
        <v>157</v>
      </c>
      <c r="D27" s="10" t="s">
        <v>155</v>
      </c>
      <c r="E27" s="10" t="s">
        <v>162</v>
      </c>
      <c r="F27" s="8">
        <v>6.0</v>
      </c>
      <c r="G27" s="8">
        <v>25000.0</v>
      </c>
      <c r="H27" s="8">
        <v>150000.0</v>
      </c>
    </row>
    <row r="28" ht="15.75" customHeight="1">
      <c r="A28" s="8">
        <v>1027.0</v>
      </c>
      <c r="B28" s="10" t="s">
        <v>181</v>
      </c>
      <c r="C28" s="11" t="s">
        <v>160</v>
      </c>
      <c r="D28" s="10" t="s">
        <v>158</v>
      </c>
      <c r="E28" s="10" t="s">
        <v>156</v>
      </c>
      <c r="F28" s="8">
        <v>2.0</v>
      </c>
      <c r="G28" s="8">
        <v>45000.0</v>
      </c>
      <c r="H28" s="8">
        <v>90000.0</v>
      </c>
    </row>
    <row r="29" ht="15.75" customHeight="1">
      <c r="A29" s="8">
        <v>1028.0</v>
      </c>
      <c r="B29" s="10" t="s">
        <v>182</v>
      </c>
      <c r="C29" s="11" t="s">
        <v>154</v>
      </c>
      <c r="D29" s="11" t="s">
        <v>165</v>
      </c>
      <c r="E29" s="10" t="s">
        <v>159</v>
      </c>
      <c r="F29" s="8">
        <v>3.0</v>
      </c>
      <c r="G29" s="8">
        <v>18000.0</v>
      </c>
      <c r="H29" s="8">
        <v>54000.0</v>
      </c>
    </row>
    <row r="30" ht="15.75" customHeight="1">
      <c r="A30" s="8">
        <v>1029.0</v>
      </c>
      <c r="B30" s="10" t="s">
        <v>183</v>
      </c>
      <c r="C30" s="11" t="s">
        <v>157</v>
      </c>
      <c r="D30" s="11" t="s">
        <v>166</v>
      </c>
      <c r="E30" s="10" t="s">
        <v>162</v>
      </c>
      <c r="F30" s="8">
        <v>5.0</v>
      </c>
      <c r="G30" s="8">
        <v>25000.0</v>
      </c>
      <c r="H30" s="8">
        <v>125000.0</v>
      </c>
    </row>
    <row r="31" ht="15.75" customHeight="1">
      <c r="A31" s="8">
        <v>1030.0</v>
      </c>
      <c r="B31" s="10" t="s">
        <v>184</v>
      </c>
      <c r="C31" s="11" t="s">
        <v>178</v>
      </c>
      <c r="D31" s="10" t="s">
        <v>155</v>
      </c>
      <c r="E31" s="10" t="s">
        <v>156</v>
      </c>
      <c r="F31" s="8">
        <v>2.0</v>
      </c>
      <c r="G31" s="8">
        <v>45000.0</v>
      </c>
      <c r="H31" s="8">
        <v>90000.0</v>
      </c>
    </row>
    <row r="32" ht="15.75" customHeight="1">
      <c r="A32" s="8">
        <v>1031.0</v>
      </c>
      <c r="B32" s="10" t="s">
        <v>185</v>
      </c>
      <c r="C32" s="11" t="s">
        <v>160</v>
      </c>
      <c r="D32" s="10" t="s">
        <v>158</v>
      </c>
      <c r="E32" s="10" t="s">
        <v>162</v>
      </c>
      <c r="F32" s="8">
        <v>3.0</v>
      </c>
      <c r="G32" s="8">
        <v>45000.0</v>
      </c>
      <c r="H32" s="8">
        <v>135000.0</v>
      </c>
    </row>
    <row r="33" ht="15.75" customHeight="1">
      <c r="A33" s="8">
        <v>1032.0</v>
      </c>
      <c r="B33" s="10" t="s">
        <v>186</v>
      </c>
      <c r="C33" s="11" t="s">
        <v>157</v>
      </c>
      <c r="D33" s="10" t="s">
        <v>161</v>
      </c>
      <c r="E33" s="10" t="s">
        <v>156</v>
      </c>
      <c r="F33" s="8">
        <v>5.0</v>
      </c>
      <c r="G33" s="8">
        <v>18000.0</v>
      </c>
      <c r="H33" s="8">
        <v>90000.0</v>
      </c>
    </row>
    <row r="34" ht="15.75" customHeight="1">
      <c r="A34" s="8">
        <v>1033.0</v>
      </c>
      <c r="B34" s="10" t="s">
        <v>187</v>
      </c>
      <c r="C34" s="11" t="s">
        <v>154</v>
      </c>
      <c r="D34" s="10" t="s">
        <v>164</v>
      </c>
      <c r="E34" s="10" t="s">
        <v>159</v>
      </c>
      <c r="F34" s="8">
        <v>2.0</v>
      </c>
      <c r="G34" s="8">
        <v>25000.0</v>
      </c>
      <c r="H34" s="8">
        <v>50000.0</v>
      </c>
    </row>
    <row r="35" ht="15.75" customHeight="1">
      <c r="A35" s="8">
        <v>1034.0</v>
      </c>
      <c r="B35" s="10" t="s">
        <v>188</v>
      </c>
      <c r="C35" s="11" t="s">
        <v>178</v>
      </c>
      <c r="D35" s="10" t="s">
        <v>155</v>
      </c>
      <c r="E35" s="11" t="s">
        <v>162</v>
      </c>
      <c r="F35" s="8">
        <v>1.0</v>
      </c>
      <c r="G35" s="8">
        <v>45000.0</v>
      </c>
      <c r="H35" s="8">
        <v>45000.0</v>
      </c>
    </row>
    <row r="36" ht="15.75" customHeight="1">
      <c r="A36" s="8">
        <v>1024.0</v>
      </c>
      <c r="B36" s="10" t="s">
        <v>189</v>
      </c>
      <c r="C36" s="11" t="s">
        <v>178</v>
      </c>
      <c r="D36" s="10" t="s">
        <v>161</v>
      </c>
      <c r="E36" s="10" t="s">
        <v>156</v>
      </c>
      <c r="F36" s="8">
        <v>4.0</v>
      </c>
      <c r="G36" s="8">
        <v>18000.0</v>
      </c>
      <c r="H36" s="8">
        <v>72000.0</v>
      </c>
    </row>
    <row r="37" ht="15.75" customHeight="1">
      <c r="A37" s="8">
        <v>1025.0</v>
      </c>
      <c r="B37" s="10" t="s">
        <v>190</v>
      </c>
      <c r="C37" s="11" t="s">
        <v>154</v>
      </c>
      <c r="D37" s="10" t="s">
        <v>164</v>
      </c>
      <c r="E37" s="10" t="s">
        <v>159</v>
      </c>
      <c r="F37" s="8">
        <v>6.0</v>
      </c>
      <c r="G37" s="8">
        <v>25000.0</v>
      </c>
      <c r="H37" s="8">
        <v>150000.0</v>
      </c>
    </row>
    <row r="38" ht="15.75" customHeight="1">
      <c r="A38" s="8">
        <v>1026.0</v>
      </c>
      <c r="B38" s="10" t="s">
        <v>191</v>
      </c>
      <c r="C38" s="11" t="s">
        <v>157</v>
      </c>
      <c r="D38" s="10" t="s">
        <v>155</v>
      </c>
      <c r="E38" s="10" t="s">
        <v>162</v>
      </c>
      <c r="F38" s="8">
        <v>2.0</v>
      </c>
      <c r="G38" s="8">
        <v>45000.0</v>
      </c>
      <c r="H38" s="8">
        <v>90000.0</v>
      </c>
    </row>
    <row r="39" ht="15.75" customHeight="1">
      <c r="A39" s="8">
        <v>1027.0</v>
      </c>
      <c r="B39" s="10" t="s">
        <v>192</v>
      </c>
      <c r="C39" s="11" t="s">
        <v>160</v>
      </c>
      <c r="D39" s="10" t="s">
        <v>158</v>
      </c>
      <c r="E39" s="10" t="s">
        <v>156</v>
      </c>
      <c r="F39" s="8">
        <v>3.0</v>
      </c>
      <c r="G39" s="8">
        <v>18000.0</v>
      </c>
      <c r="H39" s="8">
        <v>54000.0</v>
      </c>
    </row>
    <row r="40" ht="15.75" customHeight="1">
      <c r="A40" s="8">
        <v>1028.0</v>
      </c>
      <c r="B40" s="10" t="s">
        <v>193</v>
      </c>
      <c r="C40" s="11" t="s">
        <v>154</v>
      </c>
      <c r="D40" s="11" t="s">
        <v>165</v>
      </c>
      <c r="E40" s="10" t="s">
        <v>159</v>
      </c>
      <c r="F40" s="8">
        <v>5.0</v>
      </c>
      <c r="G40" s="8">
        <v>25000.0</v>
      </c>
      <c r="H40" s="8">
        <v>125000.0</v>
      </c>
    </row>
    <row r="41" ht="15.75" customHeight="1">
      <c r="A41" s="8">
        <v>1029.0</v>
      </c>
      <c r="B41" s="10" t="s">
        <v>194</v>
      </c>
      <c r="C41" s="11" t="s">
        <v>157</v>
      </c>
      <c r="D41" s="11" t="s">
        <v>166</v>
      </c>
      <c r="E41" s="10" t="s">
        <v>162</v>
      </c>
      <c r="F41" s="8">
        <v>2.0</v>
      </c>
      <c r="G41" s="8">
        <v>45000.0</v>
      </c>
      <c r="H41" s="8">
        <v>90000.0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5"/>
    <col customWidth="1" min="3" max="3" width="14.75"/>
    <col customWidth="1" min="4" max="5" width="12.63"/>
  </cols>
  <sheetData>
    <row r="1" ht="15.75" customHeight="1">
      <c r="A1" s="12" t="s">
        <v>195</v>
      </c>
    </row>
    <row r="2" ht="15.75" customHeight="1">
      <c r="A2" s="13" t="s">
        <v>146</v>
      </c>
      <c r="B2" s="13" t="s">
        <v>147</v>
      </c>
      <c r="C2" s="13" t="s">
        <v>148</v>
      </c>
      <c r="D2" s="13" t="s">
        <v>149</v>
      </c>
      <c r="E2" s="13" t="s">
        <v>150</v>
      </c>
      <c r="F2" s="13" t="s">
        <v>151</v>
      </c>
      <c r="G2" s="13" t="s">
        <v>152</v>
      </c>
      <c r="H2" s="13" t="s">
        <v>153</v>
      </c>
    </row>
    <row r="3" ht="15.75" customHeight="1">
      <c r="A3" s="8">
        <v>1001.0</v>
      </c>
      <c r="B3" s="9">
        <v>45383.0</v>
      </c>
      <c r="C3" s="10" t="s">
        <v>154</v>
      </c>
      <c r="D3" s="10" t="str">
        <f>VLOOKUP(A3,'Raw Data -1'!A1:H41,4,FALSE)</f>
        <v>Anil</v>
      </c>
      <c r="E3" s="11" t="str">
        <f>VLOOKUP(B3,'Raw Data -1'!B1:I41,4,FALSE)</f>
        <v>Laptop</v>
      </c>
      <c r="F3" s="11">
        <f>VLOOKUP(C3,'Raw Data -1'!C1:J41,4,FALSE)</f>
        <v>3</v>
      </c>
      <c r="G3" s="11">
        <f>VLOOKUP(D3,'Raw Data -1'!D1:K41,4,FALSE)</f>
        <v>45000</v>
      </c>
      <c r="H3" s="11">
        <f>VLOOKUP(E3,'Raw Data -1'!E1:L41,4,FALSE)</f>
        <v>135000</v>
      </c>
    </row>
    <row r="4" ht="15.75" customHeight="1">
      <c r="A4" s="8">
        <v>1003.0</v>
      </c>
      <c r="B4" s="9">
        <v>45384.0</v>
      </c>
      <c r="C4" s="10" t="s">
        <v>160</v>
      </c>
      <c r="D4" s="10" t="str">
        <f>VLOOKUP(A4,'Raw Data -1'!A2:H42,4,FALSE)</f>
        <v>Raj</v>
      </c>
      <c r="E4" s="11" t="str">
        <f>VLOOKUP(B4,'Raw Data -1'!B2:I42,4,FALSE)</f>
        <v>Mobile</v>
      </c>
      <c r="F4" s="11">
        <f>VLOOKUP(C4,'Raw Data -1'!C2:J42,4,FALSE)</f>
        <v>2</v>
      </c>
      <c r="G4" s="11">
        <f>VLOOKUP(D4,'Raw Data -1'!D2:K42,4,FALSE)</f>
        <v>25000</v>
      </c>
      <c r="H4" s="11">
        <f>VLOOKUP(E4,'Raw Data -1'!E2:L42,4,FALSE)</f>
        <v>90000</v>
      </c>
    </row>
    <row r="5" ht="15.75" customHeight="1">
      <c r="A5" s="8">
        <v>1005.0</v>
      </c>
      <c r="B5" s="9">
        <v>45386.0</v>
      </c>
      <c r="C5" s="10" t="s">
        <v>154</v>
      </c>
      <c r="D5" s="10" t="str">
        <f>VLOOKUP(A5,'Raw Data -1'!A3:H43,4,FALSE)</f>
        <v>Anil</v>
      </c>
      <c r="E5" s="11" t="str">
        <f>VLOOKUP(B5,'Raw Data -1'!B3:I43,4,FALSE)</f>
        <v>Mobile</v>
      </c>
      <c r="F5" s="11">
        <f>VLOOKUP(C5,'Raw Data -1'!C3:J43,4,FALSE)</f>
        <v>4</v>
      </c>
      <c r="G5" s="11">
        <f>VLOOKUP(D5,'Raw Data -1'!D3:K43,4,FALSE)</f>
        <v>18000</v>
      </c>
      <c r="H5" s="11">
        <f>VLOOKUP(E5,'Raw Data -1'!E3:L43,4,FALSE)</f>
        <v>90000</v>
      </c>
    </row>
    <row r="6" ht="15.75" customHeight="1">
      <c r="A6" s="8">
        <v>1006.0</v>
      </c>
      <c r="B6" s="9">
        <v>45387.0</v>
      </c>
      <c r="C6" s="10" t="s">
        <v>157</v>
      </c>
      <c r="D6" s="10" t="str">
        <f>VLOOKUP(A6,'Raw Data -1'!A4:H44,4,FALSE)</f>
        <v>Meena</v>
      </c>
      <c r="E6" s="11" t="str">
        <f>VLOOKUP(B6,'Raw Data -1'!B4:I44,4,FALSE)</f>
        <v>Tablet</v>
      </c>
      <c r="F6" s="11">
        <f>VLOOKUP(C6,'Raw Data -1'!C4:J44,4,FALSE)</f>
        <v>6</v>
      </c>
      <c r="G6" s="11">
        <f>VLOOKUP(D6,'Raw Data -1'!D4:K44,4,FALSE)</f>
        <v>25000</v>
      </c>
      <c r="H6" s="11">
        <f>VLOOKUP(E6,'Raw Data -1'!E4:L44,4,FALSE)</f>
        <v>50000</v>
      </c>
    </row>
    <row r="7" ht="15.75" customHeight="1">
      <c r="A7" s="8">
        <v>1007.0</v>
      </c>
      <c r="B7" s="9">
        <v>45388.0</v>
      </c>
      <c r="C7" s="10" t="s">
        <v>160</v>
      </c>
      <c r="D7" s="10" t="str">
        <f>VLOOKUP(A7,'Raw Data -1'!A5:H45,4,FALSE)</f>
        <v>Raj</v>
      </c>
      <c r="E7" s="11" t="str">
        <f>VLOOKUP(B7,'Raw Data -1'!B5:I45,4,FALSE)</f>
        <v>Laptop</v>
      </c>
      <c r="F7" s="11">
        <f>VLOOKUP(C7,'Raw Data -1'!C5:J45,4,FALSE)</f>
        <v>2</v>
      </c>
      <c r="G7" s="11">
        <f>VLOOKUP(D7,'Raw Data -1'!D5:K45,4,FALSE)</f>
        <v>45000</v>
      </c>
      <c r="H7" s="11">
        <f>VLOOKUP(E7,'Raw Data -1'!E5:L45,4,FALSE)</f>
        <v>45000</v>
      </c>
    </row>
    <row r="8" ht="15.75" customHeight="1">
      <c r="A8" s="8">
        <v>1008.0</v>
      </c>
      <c r="B8" s="9">
        <v>45388.0</v>
      </c>
      <c r="C8" s="10" t="s">
        <v>163</v>
      </c>
      <c r="D8" s="10" t="str">
        <f>VLOOKUP(A8,'Raw Data -1'!A6:H46,4,FALSE)</f>
        <v>Pooja</v>
      </c>
      <c r="E8" s="11" t="str">
        <f>VLOOKUP(B8,'Raw Data -1'!B6:I46,4,FALSE)</f>
        <v>Laptop</v>
      </c>
      <c r="F8" s="11">
        <f>VLOOKUP(C8,'Raw Data -1'!C6:J46,4,FALSE)</f>
        <v>3</v>
      </c>
      <c r="G8" s="11">
        <f>VLOOKUP(D8,'Raw Data -1'!D6:K46,4,FALSE)</f>
        <v>18000</v>
      </c>
      <c r="H8" s="11">
        <f>VLOOKUP(E8,'Raw Data -1'!E6:L46,4,FALSE)</f>
        <v>90000</v>
      </c>
    </row>
    <row r="9" ht="15.75" customHeight="1">
      <c r="A9" s="8">
        <v>1009.0</v>
      </c>
      <c r="B9" s="9">
        <v>45505.0</v>
      </c>
      <c r="C9" s="10" t="s">
        <v>154</v>
      </c>
      <c r="D9" s="10" t="str">
        <f>VLOOKUP(A9,'Raw Data -1'!A7:H47,4,FALSE)</f>
        <v>Anil</v>
      </c>
      <c r="E9" s="11" t="str">
        <f>VLOOKUP(B9,'Raw Data -1'!B7:I47,4,FALSE)</f>
        <v>Tablet</v>
      </c>
      <c r="F9" s="11">
        <f>VLOOKUP(C9,'Raw Data -1'!C7:J47,4,FALSE)</f>
        <v>5</v>
      </c>
      <c r="G9" s="11">
        <f>VLOOKUP(D9,'Raw Data -1'!D7:K47,4,FALSE)</f>
        <v>25000</v>
      </c>
      <c r="H9" s="11">
        <f>VLOOKUP(E9,'Raw Data -1'!E7:L47,4,FALSE)</f>
        <v>150000</v>
      </c>
    </row>
    <row r="10" ht="15.75" customHeight="1">
      <c r="A10" s="8">
        <v>1010.0</v>
      </c>
      <c r="B10" s="9">
        <v>45506.0</v>
      </c>
      <c r="C10" s="10" t="s">
        <v>157</v>
      </c>
      <c r="D10" s="10" t="str">
        <f>VLOOKUP(A10,'Raw Data -1'!A8:H48,4,FALSE)</f>
        <v>Meena</v>
      </c>
      <c r="E10" s="11" t="str">
        <f>VLOOKUP(B10,'Raw Data -1'!B8:I48,4,FALSE)</f>
        <v>Laptop</v>
      </c>
      <c r="F10" s="11">
        <f>VLOOKUP(C10,'Raw Data -1'!C8:J48,4,FALSE)</f>
        <v>2</v>
      </c>
      <c r="G10" s="11">
        <f>VLOOKUP(D10,'Raw Data -1'!D8:K48,4,FALSE)</f>
        <v>45000</v>
      </c>
      <c r="H10" s="11">
        <f>VLOOKUP(E10,'Raw Data -1'!E8:L48,4,FALSE)</f>
        <v>90000</v>
      </c>
    </row>
    <row r="11" ht="15.75" customHeight="1">
      <c r="A11" s="8">
        <v>1012.0</v>
      </c>
      <c r="B11" s="9">
        <v>45508.0</v>
      </c>
      <c r="C11" s="11" t="s">
        <v>163</v>
      </c>
      <c r="D11" s="10" t="str">
        <f>VLOOKUP(A11,'Raw Data -1'!A9:H49,4,FALSE)</f>
        <v>Trupti</v>
      </c>
      <c r="E11" s="11" t="str">
        <f>VLOOKUP(B11,'Raw Data -1'!B9:I49,4,FALSE)</f>
        <v>Mobile</v>
      </c>
      <c r="F11" s="11">
        <f>VLOOKUP(C11,'Raw Data -1'!C9:J49,4,FALSE)</f>
        <v>3</v>
      </c>
      <c r="G11" s="11">
        <f>VLOOKUP(D11,'Raw Data -1'!D9:K49,4,FALSE)</f>
        <v>18000</v>
      </c>
      <c r="H11" s="11">
        <f>VLOOKUP(E11,'Raw Data -1'!E9:L49,4,FALSE)</f>
        <v>54000</v>
      </c>
    </row>
    <row r="12" ht="15.75" customHeight="1">
      <c r="A12" s="8">
        <v>1013.0</v>
      </c>
      <c r="B12" s="9">
        <v>45509.0</v>
      </c>
      <c r="C12" s="11" t="s">
        <v>154</v>
      </c>
      <c r="D12" s="10" t="str">
        <f>VLOOKUP(A12,'Raw Data -1'!A10:H50,4,FALSE)</f>
        <v>sati</v>
      </c>
      <c r="E12" s="11" t="str">
        <f>VLOOKUP(B12,'Raw Data -1'!B10:I50,4,FALSE)</f>
        <v>Tablet</v>
      </c>
      <c r="F12" s="11">
        <f>VLOOKUP(C12,'Raw Data -1'!C10:J50,4,FALSE)</f>
        <v>5</v>
      </c>
      <c r="G12" s="11">
        <f>VLOOKUP(D12,'Raw Data -1'!D10:K50,4,FALSE)</f>
        <v>25000</v>
      </c>
      <c r="H12" s="11">
        <f>VLOOKUP(E12,'Raw Data -1'!E10:L50,4,FALSE)</f>
        <v>125000</v>
      </c>
    </row>
    <row r="13" ht="15.75" customHeight="1">
      <c r="A13" s="8">
        <v>1014.0</v>
      </c>
      <c r="B13" s="9">
        <v>45510.0</v>
      </c>
      <c r="C13" s="11" t="s">
        <v>160</v>
      </c>
      <c r="D13" s="10" t="str">
        <f>VLOOKUP(A13,'Raw Data -1'!A11:H51,4,FALSE)</f>
        <v>Ramesh</v>
      </c>
      <c r="E13" s="11" t="str">
        <f>VLOOKUP(B13,'Raw Data -1'!B11:I51,4,FALSE)</f>
        <v>Laptop</v>
      </c>
      <c r="F13" s="11">
        <f>VLOOKUP(C13,'Raw Data -1'!C11:J51,4,FALSE)</f>
        <v>1</v>
      </c>
      <c r="G13" s="11">
        <f>VLOOKUP(D13,'Raw Data -1'!D11:K51,4,FALSE)</f>
        <v>45000</v>
      </c>
      <c r="H13" s="11">
        <f>VLOOKUP(E13,'Raw Data -1'!E11:L51,4,FALSE)</f>
        <v>90000</v>
      </c>
    </row>
    <row r="14" ht="15.75" customHeight="1">
      <c r="A14" s="8">
        <v>1016.0</v>
      </c>
      <c r="B14" s="9">
        <v>45512.0</v>
      </c>
      <c r="C14" s="11" t="s">
        <v>160</v>
      </c>
      <c r="D14" s="10" t="str">
        <f>VLOOKUP(A14,'Raw Data -1'!A12:H52,4,FALSE)</f>
        <v>Anurup</v>
      </c>
      <c r="E14" s="11" t="str">
        <f>VLOOKUP(B14,'Raw Data -1'!B12:I52,4,FALSE)</f>
        <v>Tablet</v>
      </c>
      <c r="F14" s="11">
        <f>VLOOKUP(C14,'Raw Data -1'!C12:J52,4,FALSE)</f>
        <v>1</v>
      </c>
      <c r="G14" s="11">
        <f>VLOOKUP(D14,'Raw Data -1'!D12:K52,4,FALSE)</f>
        <v>25000</v>
      </c>
      <c r="H14" s="11">
        <f>VLOOKUP(E14,'Raw Data -1'!E12:L52,4,FALSE)</f>
        <v>50000</v>
      </c>
    </row>
    <row r="15" ht="15.75" customHeight="1">
      <c r="A15" s="8">
        <v>1017.0</v>
      </c>
      <c r="B15" s="9">
        <v>45513.0</v>
      </c>
      <c r="C15" s="11" t="s">
        <v>163</v>
      </c>
      <c r="D15" s="10" t="str">
        <f>VLOOKUP(A15,'Raw Data -1'!A13:H53,4,FALSE)</f>
        <v>pooja</v>
      </c>
      <c r="E15" s="11" t="str">
        <f>VLOOKUP(B15,'Raw Data -1'!B13:I53,4,FALSE)</f>
        <v>Laptop</v>
      </c>
      <c r="F15" s="11">
        <f>VLOOKUP(C15,'Raw Data -1'!C13:J53,4,FALSE)</f>
        <v>5</v>
      </c>
      <c r="G15" s="11">
        <f>VLOOKUP(D15,'Raw Data -1'!D13:K53,4,FALSE)</f>
        <v>45000</v>
      </c>
      <c r="H15" s="11">
        <f>VLOOKUP(E15,'Raw Data -1'!E13:L53,4,FALSE)</f>
        <v>45000</v>
      </c>
    </row>
    <row r="16" ht="15.75" customHeight="1">
      <c r="A16" s="8">
        <v>1019.0</v>
      </c>
      <c r="B16" s="10" t="s">
        <v>171</v>
      </c>
      <c r="C16" s="11" t="s">
        <v>157</v>
      </c>
      <c r="D16" s="10" t="str">
        <f>VLOOKUP(A16,'Raw Data -1'!A14:H54,4,FALSE)</f>
        <v>meena</v>
      </c>
      <c r="E16" s="11" t="str">
        <f>VLOOKUP(B16,'Raw Data -1'!B14:I54,4,FALSE)</f>
        <v>Tablet</v>
      </c>
      <c r="F16" s="11">
        <f>VLOOKUP(C16,'Raw Data -1'!C14:J54,4,FALSE)</f>
        <v>4</v>
      </c>
      <c r="G16" s="11">
        <f>VLOOKUP(D16,'Raw Data -1'!D14:K54,4,FALSE)</f>
        <v>25000</v>
      </c>
      <c r="H16" s="11">
        <f>VLOOKUP(E16,'Raw Data -1'!E14:L54,4,FALSE)</f>
        <v>50000</v>
      </c>
    </row>
    <row r="17" ht="15.75" customHeight="1">
      <c r="A17" s="8">
        <v>1020.0</v>
      </c>
      <c r="B17" s="10" t="s">
        <v>173</v>
      </c>
      <c r="C17" s="11" t="s">
        <v>160</v>
      </c>
      <c r="D17" s="10" t="str">
        <f>VLOOKUP(A17,'Raw Data -1'!A15:H55,4,FALSE)</f>
        <v>Raj</v>
      </c>
      <c r="E17" s="11" t="str">
        <f>VLOOKUP(B17,'Raw Data -1'!B15:I55,4,FALSE)</f>
        <v>Laptop</v>
      </c>
      <c r="F17" s="11">
        <f>VLOOKUP(C17,'Raw Data -1'!C15:J55,4,FALSE)</f>
        <v>1</v>
      </c>
      <c r="G17" s="11">
        <f>VLOOKUP(D17,'Raw Data -1'!D15:K55,4,FALSE)</f>
        <v>18000</v>
      </c>
      <c r="H17" s="11">
        <f>VLOOKUP(E17,'Raw Data -1'!E15:L55,4,FALSE)</f>
        <v>45000</v>
      </c>
    </row>
    <row r="18" ht="15.75" customHeight="1">
      <c r="A18" s="8">
        <v>1021.0</v>
      </c>
      <c r="B18" s="10" t="s">
        <v>174</v>
      </c>
      <c r="C18" s="11" t="s">
        <v>163</v>
      </c>
      <c r="D18" s="10" t="str">
        <f>VLOOKUP(A18,'Raw Data -1'!A16:H56,4,FALSE)</f>
        <v>Pooja</v>
      </c>
      <c r="E18" s="11" t="str">
        <f>VLOOKUP(B18,'Raw Data -1'!B16:I56,4,FALSE)</f>
        <v>Laptop</v>
      </c>
      <c r="F18" s="11">
        <f>VLOOKUP(C18,'Raw Data -1'!C16:J56,4,FALSE)</f>
        <v>2</v>
      </c>
      <c r="G18" s="11">
        <f>VLOOKUP(D18,'Raw Data -1'!D16:K56,4,FALSE)</f>
        <v>45000</v>
      </c>
      <c r="H18" s="11">
        <f>VLOOKUP(E18,'Raw Data -1'!E16:L56,4,FALSE)</f>
        <v>90000</v>
      </c>
    </row>
    <row r="19" ht="15.75" customHeight="1">
      <c r="A19" s="8">
        <v>1022.0</v>
      </c>
      <c r="B19" s="10" t="s">
        <v>175</v>
      </c>
      <c r="C19" s="11" t="s">
        <v>157</v>
      </c>
      <c r="D19" s="10" t="str">
        <f>VLOOKUP(A19,'Raw Data -1'!A17:H57,4,FALSE)</f>
        <v>Anil</v>
      </c>
      <c r="E19" s="11" t="str">
        <f>VLOOKUP(B19,'Raw Data -1'!B17:I57,4,FALSE)</f>
        <v>Mobile</v>
      </c>
      <c r="F19" s="11">
        <f>VLOOKUP(C19,'Raw Data -1'!C17:J57,4,FALSE)</f>
        <v>5</v>
      </c>
      <c r="G19" s="11">
        <f>VLOOKUP(D19,'Raw Data -1'!D17:K57,4,FALSE)</f>
        <v>18000</v>
      </c>
      <c r="H19" s="11">
        <f>VLOOKUP(E19,'Raw Data -1'!E17:L57,4,FALSE)</f>
        <v>54000</v>
      </c>
    </row>
    <row r="20" ht="15.75" customHeight="1">
      <c r="A20" s="8">
        <v>1023.0</v>
      </c>
      <c r="B20" s="10" t="s">
        <v>176</v>
      </c>
      <c r="C20" s="11" t="s">
        <v>160</v>
      </c>
      <c r="D20" s="10" t="str">
        <f>VLOOKUP(A20,'Raw Data -1'!A18:H58,4,FALSE)</f>
        <v>Meena</v>
      </c>
      <c r="E20" s="11" t="str">
        <f>VLOOKUP(B20,'Raw Data -1'!B18:I58,4,FALSE)</f>
        <v>Tablet</v>
      </c>
      <c r="F20" s="11">
        <f>VLOOKUP(C20,'Raw Data -1'!C18:J58,4,FALSE)</f>
        <v>2</v>
      </c>
      <c r="G20" s="11">
        <f>VLOOKUP(D20,'Raw Data -1'!D18:K58,4,FALSE)</f>
        <v>25000</v>
      </c>
      <c r="H20" s="11">
        <f>VLOOKUP(E20,'Raw Data -1'!E18:L58,4,FALSE)</f>
        <v>125000</v>
      </c>
    </row>
    <row r="21" ht="15.75" customHeight="1">
      <c r="A21" s="8">
        <v>1024.0</v>
      </c>
      <c r="B21" s="10" t="s">
        <v>177</v>
      </c>
      <c r="C21" s="11" t="s">
        <v>178</v>
      </c>
      <c r="D21" s="10" t="str">
        <f>VLOOKUP(A21,'Raw Data -1'!A19:H59,4,FALSE)</f>
        <v>Raj</v>
      </c>
      <c r="E21" s="11" t="str">
        <f>VLOOKUP(B21,'Raw Data -1'!B19:I59,4,FALSE)</f>
        <v>Laptop</v>
      </c>
      <c r="F21" s="11">
        <f>VLOOKUP(C21,'Raw Data -1'!C19:J59,4,FALSE)</f>
        <v>3</v>
      </c>
      <c r="G21" s="11">
        <f>VLOOKUP(D21,'Raw Data -1'!D19:K59,4,FALSE)</f>
        <v>18000</v>
      </c>
      <c r="H21" s="11">
        <f>VLOOKUP(E21,'Raw Data -1'!E19:L59,4,FALSE)</f>
        <v>90000</v>
      </c>
    </row>
    <row r="22" ht="15.75" customHeight="1">
      <c r="A22" s="8">
        <v>1025.0</v>
      </c>
      <c r="B22" s="10" t="s">
        <v>179</v>
      </c>
      <c r="C22" s="11" t="s">
        <v>154</v>
      </c>
      <c r="D22" s="10" t="str">
        <f>VLOOKUP(A22,'Raw Data -1'!A20:H60,4,FALSE)</f>
        <v>Pooja</v>
      </c>
      <c r="E22" s="11" t="str">
        <f>VLOOKUP(B22,'Raw Data -1'!B20:I60,4,FALSE)</f>
        <v>Mobile</v>
      </c>
      <c r="F22" s="11">
        <f>VLOOKUP(C22,'Raw Data -1'!C20:J60,4,FALSE)</f>
        <v>4</v>
      </c>
      <c r="G22" s="11">
        <f>VLOOKUP(D22,'Raw Data -1'!D20:K60,4,FALSE)</f>
        <v>45000</v>
      </c>
      <c r="H22" s="11">
        <f>VLOOKUP(E22,'Raw Data -1'!E20:L60,4,FALSE)</f>
        <v>90000</v>
      </c>
    </row>
    <row r="23" ht="15.75" customHeight="1">
      <c r="A23" s="8">
        <v>1026.0</v>
      </c>
      <c r="B23" s="10" t="s">
        <v>180</v>
      </c>
      <c r="C23" s="11" t="s">
        <v>157</v>
      </c>
      <c r="D23" s="10" t="str">
        <f>VLOOKUP(A23,'Raw Data -1'!A21:H61,4,FALSE)</f>
        <v>Anil</v>
      </c>
      <c r="E23" s="11" t="str">
        <f>VLOOKUP(B23,'Raw Data -1'!B21:I61,4,FALSE)</f>
        <v>Tablet</v>
      </c>
      <c r="F23" s="11">
        <f>VLOOKUP(C23,'Raw Data -1'!C21:J61,4,FALSE)</f>
        <v>5</v>
      </c>
      <c r="G23" s="11">
        <f>VLOOKUP(D23,'Raw Data -1'!D21:K61,4,FALSE)</f>
        <v>18000</v>
      </c>
      <c r="H23" s="11">
        <f>VLOOKUP(E23,'Raw Data -1'!E21:L61,4,FALSE)</f>
        <v>50000</v>
      </c>
    </row>
    <row r="24" ht="15.75" customHeight="1">
      <c r="A24" s="8">
        <v>1027.0</v>
      </c>
      <c r="B24" s="10" t="s">
        <v>181</v>
      </c>
      <c r="C24" s="11" t="s">
        <v>160</v>
      </c>
      <c r="D24" s="10" t="str">
        <f>VLOOKUP(A24,'Raw Data -1'!A22:H62,4,FALSE)</f>
        <v>Meena</v>
      </c>
      <c r="E24" s="11" t="str">
        <f>VLOOKUP(B24,'Raw Data -1'!B22:I62,4,FALSE)</f>
        <v>Laptop</v>
      </c>
      <c r="F24" s="11">
        <f>VLOOKUP(C24,'Raw Data -1'!C22:J62,4,FALSE)</f>
        <v>2</v>
      </c>
      <c r="G24" s="11">
        <f>VLOOKUP(D24,'Raw Data -1'!D22:K62,4,FALSE)</f>
        <v>25000</v>
      </c>
      <c r="H24" s="11">
        <f>VLOOKUP(E24,'Raw Data -1'!E22:L62,4,FALSE)</f>
        <v>135000</v>
      </c>
    </row>
    <row r="25" ht="15.75" customHeight="1">
      <c r="A25" s="8">
        <v>1028.0</v>
      </c>
      <c r="B25" s="10" t="s">
        <v>182</v>
      </c>
      <c r="C25" s="11" t="s">
        <v>154</v>
      </c>
      <c r="D25" s="10" t="str">
        <f>VLOOKUP(A25,'Raw Data -1'!A23:H63,4,FALSE)</f>
        <v>Raman</v>
      </c>
      <c r="E25" s="11" t="str">
        <f>VLOOKUP(B25,'Raw Data -1'!B23:I63,4,FALSE)</f>
        <v>Mobile</v>
      </c>
      <c r="F25" s="11">
        <f>VLOOKUP(C25,'Raw Data -1'!C23:J63,4,FALSE)</f>
        <v>4</v>
      </c>
      <c r="G25" s="11">
        <f>VLOOKUP(D25,'Raw Data -1'!D23:K63,4,FALSE)</f>
        <v>18000</v>
      </c>
      <c r="H25" s="11">
        <f>VLOOKUP(E25,'Raw Data -1'!E23:L63,4,FALSE)</f>
        <v>90000</v>
      </c>
    </row>
    <row r="26" ht="15.75" customHeight="1">
      <c r="A26" s="8">
        <v>1029.0</v>
      </c>
      <c r="B26" s="10" t="s">
        <v>183</v>
      </c>
      <c r="C26" s="11" t="s">
        <v>157</v>
      </c>
      <c r="D26" s="10" t="str">
        <f>VLOOKUP(A26,'Raw Data -1'!A24:H64,4,FALSE)</f>
        <v>Trupti</v>
      </c>
      <c r="E26" s="11" t="str">
        <f>VLOOKUP(B26,'Raw Data -1'!B24:I64,4,FALSE)</f>
        <v>Tablet</v>
      </c>
      <c r="F26" s="11">
        <f>VLOOKUP(C26,'Raw Data -1'!C24:J64,4,FALSE)</f>
        <v>6</v>
      </c>
      <c r="G26" s="11">
        <f>VLOOKUP(D26,'Raw Data -1'!D24:K64,4,FALSE)</f>
        <v>25000</v>
      </c>
      <c r="H26" s="11">
        <f>VLOOKUP(E26,'Raw Data -1'!E24:L64,4,FALSE)</f>
        <v>50000</v>
      </c>
    </row>
    <row r="27" ht="15.75" customHeight="1">
      <c r="A27" s="8">
        <v>1030.0</v>
      </c>
      <c r="B27" s="10" t="s">
        <v>184</v>
      </c>
      <c r="C27" s="11" t="s">
        <v>178</v>
      </c>
      <c r="D27" s="10" t="str">
        <f>VLOOKUP(A27,'Raw Data -1'!A25:H65,4,FALSE)</f>
        <v>Anil</v>
      </c>
      <c r="E27" s="11" t="str">
        <f>VLOOKUP(B27,'Raw Data -1'!B25:I65,4,FALSE)</f>
        <v>Laptop</v>
      </c>
      <c r="F27" s="11">
        <f>VLOOKUP(C27,'Raw Data -1'!C25:J65,4,FALSE)</f>
        <v>1</v>
      </c>
      <c r="G27" s="11">
        <f>VLOOKUP(D27,'Raw Data -1'!D25:K65,4,FALSE)</f>
        <v>25000</v>
      </c>
      <c r="H27" s="11">
        <f>VLOOKUP(E27,'Raw Data -1'!E25:L65,4,FALSE)</f>
        <v>45000</v>
      </c>
    </row>
    <row r="28" ht="15.75" customHeight="1">
      <c r="A28" s="8">
        <v>1031.0</v>
      </c>
      <c r="B28" s="10" t="s">
        <v>185</v>
      </c>
      <c r="C28" s="11" t="s">
        <v>160</v>
      </c>
      <c r="D28" s="10" t="str">
        <f>VLOOKUP(A28,'Raw Data -1'!A26:H66,4,FALSE)</f>
        <v>Meena</v>
      </c>
      <c r="E28" s="11" t="str">
        <f>VLOOKUP(B28,'Raw Data -1'!B26:I66,4,FALSE)</f>
        <v>Tablet</v>
      </c>
      <c r="F28" s="11">
        <f>VLOOKUP(C28,'Raw Data -1'!C26:J66,4,FALSE)</f>
        <v>2</v>
      </c>
      <c r="G28" s="11">
        <f>VLOOKUP(D28,'Raw Data -1'!D26:K66,4,FALSE)</f>
        <v>45000</v>
      </c>
      <c r="H28" s="11">
        <f>VLOOKUP(E28,'Raw Data -1'!E26:L66,4,FALSE)</f>
        <v>150000</v>
      </c>
    </row>
    <row r="29" ht="15.75" customHeight="1">
      <c r="A29" s="8">
        <v>1032.0</v>
      </c>
      <c r="B29" s="10" t="s">
        <v>186</v>
      </c>
      <c r="C29" s="11" t="s">
        <v>157</v>
      </c>
      <c r="D29" s="10" t="str">
        <f>VLOOKUP(A29,'Raw Data -1'!A27:H67,4,FALSE)</f>
        <v>Raj</v>
      </c>
      <c r="E29" s="11" t="str">
        <f>VLOOKUP(B29,'Raw Data -1'!B27:I67,4,FALSE)</f>
        <v>Laptop</v>
      </c>
      <c r="F29" s="11">
        <f>VLOOKUP(C29,'Raw Data -1'!C27:J67,4,FALSE)</f>
        <v>6</v>
      </c>
      <c r="G29" s="11">
        <f>VLOOKUP(D29,'Raw Data -1'!D27:K67,4,FALSE)</f>
        <v>18000</v>
      </c>
      <c r="H29" s="11">
        <f>VLOOKUP(E29,'Raw Data -1'!E27:L67,4,FALSE)</f>
        <v>90000</v>
      </c>
    </row>
    <row r="30" ht="15.75" customHeight="1">
      <c r="A30" s="8">
        <v>1033.0</v>
      </c>
      <c r="B30" s="10" t="s">
        <v>187</v>
      </c>
      <c r="C30" s="11" t="s">
        <v>154</v>
      </c>
      <c r="D30" s="10" t="str">
        <f>VLOOKUP(A30,'Raw Data -1'!A28:H68,4,FALSE)</f>
        <v>Pooja</v>
      </c>
      <c r="E30" s="11" t="str">
        <f>VLOOKUP(B30,'Raw Data -1'!B28:I68,4,FALSE)</f>
        <v>Mobile</v>
      </c>
      <c r="F30" s="11">
        <f>VLOOKUP(C30,'Raw Data -1'!C28:J68,4,FALSE)</f>
        <v>3</v>
      </c>
      <c r="G30" s="11">
        <f>VLOOKUP(D30,'Raw Data -1'!D28:K68,4,FALSE)</f>
        <v>25000</v>
      </c>
      <c r="H30" s="11">
        <f>VLOOKUP(E30,'Raw Data -1'!E28:L68,4,FALSE)</f>
        <v>54000</v>
      </c>
    </row>
    <row r="31" ht="15.75" customHeight="1">
      <c r="A31" s="8">
        <v>1034.0</v>
      </c>
      <c r="B31" s="10" t="s">
        <v>188</v>
      </c>
      <c r="C31" s="11" t="s">
        <v>178</v>
      </c>
      <c r="D31" s="10" t="str">
        <f>VLOOKUP(A31,'Raw Data -1'!A29:H69,4,FALSE)</f>
        <v>Anil</v>
      </c>
      <c r="E31" s="11" t="str">
        <f>VLOOKUP(B31,'Raw Data -1'!B29:I69,4,FALSE)</f>
        <v>Tablet</v>
      </c>
      <c r="F31" s="11">
        <f>VLOOKUP(C31,'Raw Data -1'!C29:J69,4,FALSE)</f>
        <v>2</v>
      </c>
      <c r="G31" s="11">
        <f>VLOOKUP(D31,'Raw Data -1'!D29:K69,4,FALSE)</f>
        <v>45000</v>
      </c>
      <c r="H31" s="11">
        <f>VLOOKUP(E31,'Raw Data -1'!E29:L69,4,FALSE)</f>
        <v>125000</v>
      </c>
    </row>
    <row r="32" ht="15.75" customHeight="1">
      <c r="A32" s="8">
        <v>1024.0</v>
      </c>
      <c r="B32" s="10" t="s">
        <v>189</v>
      </c>
      <c r="C32" s="11" t="s">
        <v>178</v>
      </c>
      <c r="D32" s="10" t="str">
        <f>VLOOKUP(A32,'Raw Data -1'!A30:H70,4,FALSE)</f>
        <v>Raj</v>
      </c>
      <c r="E32" s="11" t="str">
        <f>VLOOKUP(B32,'Raw Data -1'!B30:I70,4,FALSE)</f>
        <v>Laptop</v>
      </c>
      <c r="F32" s="11">
        <f>VLOOKUP(C32,'Raw Data -1'!C30:J70,4,FALSE)</f>
        <v>2</v>
      </c>
      <c r="G32" s="11">
        <f>VLOOKUP(D32,'Raw Data -1'!D30:K70,4,FALSE)</f>
        <v>18000</v>
      </c>
      <c r="H32" s="11">
        <f>VLOOKUP(E32,'Raw Data -1'!E30:L70,4,FALSE)</f>
        <v>90000</v>
      </c>
    </row>
    <row r="33" ht="15.75" customHeight="1">
      <c r="A33" s="8">
        <v>1025.0</v>
      </c>
      <c r="B33" s="10" t="s">
        <v>190</v>
      </c>
      <c r="C33" s="11" t="s">
        <v>154</v>
      </c>
      <c r="D33" s="10" t="str">
        <f>VLOOKUP(A33,'Raw Data -1'!A31:H71,4,FALSE)</f>
        <v>Pooja</v>
      </c>
      <c r="E33" s="11" t="str">
        <f>VLOOKUP(B33,'Raw Data -1'!B31:I71,4,FALSE)</f>
        <v>Mobile</v>
      </c>
      <c r="F33" s="11">
        <f>VLOOKUP(C33,'Raw Data -1'!C31:J71,4,FALSE)</f>
        <v>2</v>
      </c>
      <c r="G33" s="11">
        <f>VLOOKUP(D33,'Raw Data -1'!D31:K71,4,FALSE)</f>
        <v>25000</v>
      </c>
      <c r="H33" s="11">
        <f>VLOOKUP(E33,'Raw Data -1'!E31:L71,4,FALSE)</f>
        <v>50000</v>
      </c>
    </row>
    <row r="34" ht="15.75" customHeight="1">
      <c r="A34" s="8">
        <v>1026.0</v>
      </c>
      <c r="B34" s="10" t="s">
        <v>191</v>
      </c>
      <c r="C34" s="11" t="s">
        <v>157</v>
      </c>
      <c r="D34" s="10" t="str">
        <f>VLOOKUP(A34,'Raw Data -1'!A32:H72,4,FALSE)</f>
        <v>Anil</v>
      </c>
      <c r="E34" s="11" t="str">
        <f>VLOOKUP(B34,'Raw Data -1'!B32:I72,4,FALSE)</f>
        <v>Tablet</v>
      </c>
      <c r="F34" s="11">
        <f>VLOOKUP(C34,'Raw Data -1'!C32:J72,4,FALSE)</f>
        <v>5</v>
      </c>
      <c r="G34" s="11">
        <f>VLOOKUP(D34,'Raw Data -1'!D32:K72,4,FALSE)</f>
        <v>45000</v>
      </c>
      <c r="H34" s="11">
        <f>VLOOKUP(E34,'Raw Data -1'!E32:L72,4,FALSE)</f>
        <v>135000</v>
      </c>
    </row>
    <row r="35" ht="15.75" customHeight="1">
      <c r="A35" s="8">
        <v>1027.0</v>
      </c>
      <c r="B35" s="10" t="s">
        <v>192</v>
      </c>
      <c r="C35" s="11" t="s">
        <v>160</v>
      </c>
      <c r="D35" s="10" t="str">
        <f>VLOOKUP(A35,'Raw Data -1'!A33:H73,4,FALSE)</f>
        <v>Meena</v>
      </c>
      <c r="E35" s="11" t="str">
        <f>VLOOKUP(B35,'Raw Data -1'!B33:I73,4,FALSE)</f>
        <v>Laptop</v>
      </c>
      <c r="F35" s="11">
        <f>VLOOKUP(C35,'Raw Data -1'!C33:J73,4,FALSE)</f>
        <v>3</v>
      </c>
      <c r="G35" s="11">
        <f>VLOOKUP(D35,'Raw Data -1'!D33:K73,4,FALSE)</f>
        <v>18000</v>
      </c>
      <c r="H35" s="11">
        <f>VLOOKUP(E35,'Raw Data -1'!E33:L73,4,FALSE)</f>
        <v>90000</v>
      </c>
    </row>
    <row r="36" ht="15.75" customHeight="1">
      <c r="A36" s="8">
        <v>1028.0</v>
      </c>
      <c r="B36" s="10" t="s">
        <v>193</v>
      </c>
      <c r="C36" s="11" t="s">
        <v>154</v>
      </c>
      <c r="D36" s="10" t="str">
        <f>VLOOKUP(A36,'Raw Data -1'!A34:H74,4,FALSE)</f>
        <v>Raman</v>
      </c>
      <c r="E36" s="11" t="str">
        <f>VLOOKUP(B36,'Raw Data -1'!B34:I74,4,FALSE)</f>
        <v>Mobile</v>
      </c>
      <c r="F36" s="11">
        <f>VLOOKUP(C36,'Raw Data -1'!C34:J74,4,FALSE)</f>
        <v>2</v>
      </c>
      <c r="G36" s="11">
        <f>VLOOKUP(D36,'Raw Data -1'!D34:K74,4,FALSE)</f>
        <v>25000</v>
      </c>
      <c r="H36" s="11">
        <f>VLOOKUP(E36,'Raw Data -1'!E34:L74,4,FALSE)</f>
        <v>50000</v>
      </c>
    </row>
    <row r="37" ht="15.75" customHeight="1">
      <c r="A37" s="8">
        <v>1029.0</v>
      </c>
      <c r="B37" s="10" t="s">
        <v>194</v>
      </c>
      <c r="C37" s="11" t="s">
        <v>157</v>
      </c>
      <c r="D37" s="10" t="str">
        <f>VLOOKUP(A37,'Raw Data -1'!A35:H75,4,FALSE)</f>
        <v>Trupti</v>
      </c>
      <c r="E37" s="11" t="str">
        <f>VLOOKUP(B37,'Raw Data -1'!B35:I75,4,FALSE)</f>
        <v>Tablet</v>
      </c>
      <c r="F37" s="11">
        <f>VLOOKUP(C37,'Raw Data -1'!C35:J75,4,FALSE)</f>
        <v>2</v>
      </c>
      <c r="G37" s="11">
        <f>VLOOKUP(D37,'Raw Data -1'!D35:K75,4,FALSE)</f>
        <v>45000</v>
      </c>
      <c r="H37" s="11">
        <f>VLOOKUP(E37,'Raw Data -1'!E35:L75,4,FALSE)</f>
        <v>45000</v>
      </c>
    </row>
    <row r="38" ht="15.75" customHeight="1"/>
    <row r="39" ht="15.75" customHeight="1"/>
    <row r="40" ht="15.75" customHeight="1"/>
    <row r="41" ht="15.75" customHeight="1">
      <c r="A41" s="14"/>
    </row>
    <row r="42" ht="15.75" customHeight="1">
      <c r="B42" s="15"/>
      <c r="E42" s="16"/>
      <c r="F42" s="16"/>
      <c r="I42" s="17"/>
    </row>
    <row r="43" ht="15.75" customHeight="1">
      <c r="B43" s="16"/>
      <c r="C43" s="16"/>
      <c r="D43" s="16"/>
      <c r="E43" s="16"/>
      <c r="F43" s="16"/>
    </row>
    <row r="44" ht="15.75" customHeight="1">
      <c r="B44" s="15"/>
    </row>
    <row r="45" ht="15.75" customHeight="1">
      <c r="B45" s="15"/>
    </row>
    <row r="46" ht="15.75" customHeight="1">
      <c r="B46" s="15"/>
    </row>
    <row r="47" ht="15.75" customHeight="1">
      <c r="B47" s="15"/>
    </row>
    <row r="48" ht="15.75" customHeight="1">
      <c r="B48" s="15"/>
    </row>
    <row r="49" ht="15.75" customHeight="1">
      <c r="B49" s="18"/>
      <c r="C49" s="15"/>
      <c r="D49" s="15"/>
      <c r="E49" s="15"/>
      <c r="F49" s="15"/>
    </row>
    <row r="50" ht="15.75" customHeight="1">
      <c r="B50" s="15"/>
    </row>
    <row r="51" ht="15.75" customHeight="1">
      <c r="B51" s="16"/>
      <c r="C51" s="16"/>
      <c r="D51" s="16"/>
      <c r="E51" s="16"/>
      <c r="F51" s="16"/>
    </row>
    <row r="52" ht="15.75" customHeight="1">
      <c r="B52" s="15"/>
    </row>
    <row r="53" ht="15.75" customHeight="1"/>
    <row r="54" ht="15.75" customHeight="1"/>
    <row r="55" ht="15.75" customHeight="1"/>
    <row r="56" ht="15.75" customHeight="1">
      <c r="D56" s="19"/>
      <c r="E56" s="19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A73" s="20"/>
      <c r="B73" s="20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5:F45"/>
    <mergeCell ref="B48:G48"/>
    <mergeCell ref="B47:F47"/>
    <mergeCell ref="B46:F46"/>
    <mergeCell ref="B44:F44"/>
    <mergeCell ref="B42:D42"/>
    <mergeCell ref="B52:F52"/>
    <mergeCell ref="B50:F5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9.0"/>
    <col customWidth="1" min="4" max="4" width="19.0"/>
    <col customWidth="1" min="7" max="7" width="17.13"/>
  </cols>
  <sheetData>
    <row r="1">
      <c r="A1" s="21" t="s">
        <v>196</v>
      </c>
      <c r="D1" s="22" t="s">
        <v>197</v>
      </c>
      <c r="G1" s="22" t="s">
        <v>198</v>
      </c>
      <c r="J1" s="17" t="s">
        <v>199</v>
      </c>
      <c r="M1" s="17" t="s">
        <v>200</v>
      </c>
      <c r="T1" s="17" t="s">
        <v>201</v>
      </c>
    </row>
    <row r="2">
      <c r="A2" s="23" t="s">
        <v>148</v>
      </c>
      <c r="B2" s="23" t="s">
        <v>202</v>
      </c>
      <c r="D2" s="23" t="s">
        <v>149</v>
      </c>
      <c r="E2" s="23" t="s">
        <v>202</v>
      </c>
      <c r="G2" s="23" t="s">
        <v>150</v>
      </c>
      <c r="H2" s="23" t="s">
        <v>202</v>
      </c>
      <c r="J2" s="23" t="s">
        <v>203</v>
      </c>
      <c r="K2" s="23" t="s">
        <v>202</v>
      </c>
      <c r="M2" s="23" t="s">
        <v>202</v>
      </c>
      <c r="N2" s="23" t="s">
        <v>150</v>
      </c>
      <c r="O2" s="23"/>
      <c r="P2" s="23"/>
      <c r="Q2" s="23"/>
      <c r="R2" s="23"/>
      <c r="T2" s="23" t="s">
        <v>146</v>
      </c>
      <c r="U2" s="23" t="s">
        <v>204</v>
      </c>
    </row>
    <row r="3">
      <c r="A3" s="23"/>
      <c r="B3" s="23">
        <v>0.0</v>
      </c>
      <c r="D3" s="23"/>
      <c r="E3" s="23">
        <v>0.0</v>
      </c>
      <c r="G3" s="23"/>
      <c r="H3" s="23">
        <v>0.0</v>
      </c>
      <c r="J3" s="24" t="s">
        <v>205</v>
      </c>
      <c r="K3" s="20">
        <v>686000.0</v>
      </c>
      <c r="M3" s="23" t="s">
        <v>148</v>
      </c>
      <c r="N3" s="23"/>
      <c r="O3" s="23" t="s">
        <v>156</v>
      </c>
      <c r="P3" s="23" t="s">
        <v>159</v>
      </c>
      <c r="Q3" s="23" t="s">
        <v>162</v>
      </c>
      <c r="R3" s="23" t="s">
        <v>206</v>
      </c>
      <c r="T3" s="23"/>
      <c r="U3" s="23" t="e">
        <v>#DIV/0!</v>
      </c>
    </row>
    <row r="4">
      <c r="A4" s="23" t="s">
        <v>160</v>
      </c>
      <c r="B4" s="23">
        <v>754000.0</v>
      </c>
      <c r="D4" s="20" t="s">
        <v>155</v>
      </c>
      <c r="E4" s="20">
        <v>869000.0</v>
      </c>
      <c r="G4" s="23" t="s">
        <v>156</v>
      </c>
      <c r="H4" s="23">
        <v>1296000.0</v>
      </c>
      <c r="J4" s="25" t="s">
        <v>207</v>
      </c>
      <c r="K4" s="23">
        <v>901000.0</v>
      </c>
      <c r="M4" s="23"/>
      <c r="N4" s="23">
        <v>0.0</v>
      </c>
      <c r="O4" s="23"/>
      <c r="P4" s="23"/>
      <c r="Q4" s="23"/>
      <c r="R4" s="23">
        <v>0.0</v>
      </c>
      <c r="T4" s="23">
        <v>1001.0</v>
      </c>
      <c r="U4" s="23">
        <v>135000.0</v>
      </c>
    </row>
    <row r="5">
      <c r="A5" s="23" t="s">
        <v>154</v>
      </c>
      <c r="B5" s="23">
        <v>887000.0</v>
      </c>
      <c r="D5" s="23" t="s">
        <v>169</v>
      </c>
      <c r="E5" s="23">
        <v>150000.0</v>
      </c>
      <c r="G5" s="23" t="s">
        <v>159</v>
      </c>
      <c r="H5" s="23">
        <v>973000.0</v>
      </c>
      <c r="J5" s="23"/>
      <c r="K5" s="23">
        <v>0.0</v>
      </c>
      <c r="M5" s="26" t="s">
        <v>160</v>
      </c>
      <c r="N5" s="23"/>
      <c r="O5" s="23">
        <v>369000.0</v>
      </c>
      <c r="P5" s="23"/>
      <c r="Q5" s="26">
        <v>385000.0</v>
      </c>
      <c r="R5" s="19">
        <v>754000.0</v>
      </c>
      <c r="T5" s="23">
        <v>1002.0</v>
      </c>
      <c r="U5" s="23">
        <v>90000.0</v>
      </c>
    </row>
    <row r="6">
      <c r="A6" s="20" t="s">
        <v>157</v>
      </c>
      <c r="B6" s="20">
        <v>1162000.0</v>
      </c>
      <c r="D6" s="23" t="s">
        <v>158</v>
      </c>
      <c r="E6" s="23">
        <v>784000.0</v>
      </c>
      <c r="G6" s="27" t="s">
        <v>162</v>
      </c>
      <c r="H6" s="27">
        <v>1335000.0</v>
      </c>
      <c r="J6" s="23" t="s">
        <v>188</v>
      </c>
      <c r="K6" s="23">
        <v>45000.0</v>
      </c>
      <c r="M6" s="28" t="s">
        <v>154</v>
      </c>
      <c r="N6" s="23"/>
      <c r="O6" s="23">
        <v>135000.0</v>
      </c>
      <c r="P6" s="29">
        <v>577000.0</v>
      </c>
      <c r="Q6" s="23">
        <v>175000.0</v>
      </c>
      <c r="R6" s="19">
        <v>887000.0</v>
      </c>
      <c r="T6" s="23">
        <v>1003.0</v>
      </c>
      <c r="U6" s="23">
        <v>50000.0</v>
      </c>
    </row>
    <row r="7">
      <c r="A7" s="23" t="s">
        <v>163</v>
      </c>
      <c r="B7" s="23">
        <v>801000.0</v>
      </c>
      <c r="D7" s="23" t="s">
        <v>164</v>
      </c>
      <c r="E7" s="23">
        <v>596000.0</v>
      </c>
      <c r="G7" s="23" t="s">
        <v>206</v>
      </c>
      <c r="H7" s="23">
        <v>3604000.0</v>
      </c>
      <c r="J7" s="23" t="s">
        <v>189</v>
      </c>
      <c r="K7" s="23">
        <v>72000.0</v>
      </c>
      <c r="M7" s="30" t="s">
        <v>157</v>
      </c>
      <c r="N7" s="23"/>
      <c r="O7" s="23">
        <v>180000.0</v>
      </c>
      <c r="P7" s="23">
        <v>252000.0</v>
      </c>
      <c r="Q7" s="30">
        <v>730000.0</v>
      </c>
      <c r="R7" s="19">
        <v>1162000.0</v>
      </c>
      <c r="T7" s="23">
        <v>1004.0</v>
      </c>
      <c r="U7" s="23">
        <v>45000.0</v>
      </c>
    </row>
    <row r="8">
      <c r="A8" s="23" t="s">
        <v>206</v>
      </c>
      <c r="B8" s="23">
        <v>3604000.0</v>
      </c>
      <c r="D8" s="23" t="s">
        <v>161</v>
      </c>
      <c r="E8" s="23">
        <v>491000.0</v>
      </c>
      <c r="J8" s="23" t="s">
        <v>190</v>
      </c>
      <c r="K8" s="23">
        <v>150000.0</v>
      </c>
      <c r="M8" s="31" t="s">
        <v>163</v>
      </c>
      <c r="N8" s="23"/>
      <c r="O8" s="20">
        <v>612000.0</v>
      </c>
      <c r="P8" s="23">
        <v>144000.0</v>
      </c>
      <c r="Q8" s="23">
        <v>45000.0</v>
      </c>
      <c r="R8" s="23">
        <v>801000.0</v>
      </c>
      <c r="T8" s="23">
        <v>1005.0</v>
      </c>
      <c r="U8" s="23">
        <v>72000.0</v>
      </c>
    </row>
    <row r="9">
      <c r="D9" s="23" t="s">
        <v>165</v>
      </c>
      <c r="E9" s="23">
        <v>314000.0</v>
      </c>
      <c r="J9" s="23" t="s">
        <v>191</v>
      </c>
      <c r="K9" s="23">
        <v>90000.0</v>
      </c>
      <c r="M9" s="23" t="s">
        <v>206</v>
      </c>
      <c r="N9" s="23">
        <v>0.0</v>
      </c>
      <c r="O9" s="23">
        <v>1296000.0</v>
      </c>
      <c r="P9" s="23">
        <v>973000.0</v>
      </c>
      <c r="Q9" s="23">
        <v>1335000.0</v>
      </c>
      <c r="R9" s="23">
        <v>3604000.0</v>
      </c>
      <c r="T9" s="23">
        <v>1006.0</v>
      </c>
      <c r="U9" s="23">
        <v>150000.0</v>
      </c>
    </row>
    <row r="10">
      <c r="D10" s="23" t="s">
        <v>168</v>
      </c>
      <c r="E10" s="23">
        <v>45000.0</v>
      </c>
      <c r="J10" s="23" t="s">
        <v>192</v>
      </c>
      <c r="K10" s="23">
        <v>54000.0</v>
      </c>
      <c r="T10" s="23">
        <v>1007.0</v>
      </c>
      <c r="U10" s="23">
        <v>90000.0</v>
      </c>
    </row>
    <row r="11">
      <c r="D11" s="23" t="s">
        <v>167</v>
      </c>
      <c r="E11" s="23">
        <v>50000.0</v>
      </c>
      <c r="J11" s="23" t="s">
        <v>193</v>
      </c>
      <c r="K11" s="23">
        <v>125000.0</v>
      </c>
      <c r="T11" s="23">
        <v>1008.0</v>
      </c>
      <c r="U11" s="23">
        <v>54000.0</v>
      </c>
    </row>
    <row r="12">
      <c r="D12" s="23" t="s">
        <v>166</v>
      </c>
      <c r="E12" s="23">
        <v>305000.0</v>
      </c>
      <c r="J12" s="23" t="s">
        <v>194</v>
      </c>
      <c r="K12" s="23">
        <v>90000.0</v>
      </c>
      <c r="T12" s="23">
        <v>1009.0</v>
      </c>
      <c r="U12" s="23">
        <v>125000.0</v>
      </c>
    </row>
    <row r="13">
      <c r="D13" s="23" t="s">
        <v>206</v>
      </c>
      <c r="E13" s="23">
        <v>3604000.0</v>
      </c>
      <c r="J13" s="23" t="s">
        <v>180</v>
      </c>
      <c r="K13" s="23">
        <v>150000.0</v>
      </c>
      <c r="T13" s="23">
        <v>1010.0</v>
      </c>
      <c r="U13" s="23">
        <v>90000.0</v>
      </c>
    </row>
    <row r="14">
      <c r="J14" s="23" t="s">
        <v>181</v>
      </c>
      <c r="K14" s="23">
        <v>90000.0</v>
      </c>
      <c r="T14" s="23">
        <v>1011.0</v>
      </c>
      <c r="U14" s="23">
        <v>135000.0</v>
      </c>
    </row>
    <row r="15">
      <c r="J15" s="23" t="s">
        <v>182</v>
      </c>
      <c r="K15" s="23">
        <v>54000.0</v>
      </c>
      <c r="T15" s="23">
        <v>1012.0</v>
      </c>
      <c r="U15" s="23">
        <v>90000.0</v>
      </c>
    </row>
    <row r="16">
      <c r="J16" s="23" t="s">
        <v>183</v>
      </c>
      <c r="K16" s="23">
        <v>125000.0</v>
      </c>
      <c r="T16" s="23">
        <v>1013.0</v>
      </c>
      <c r="U16" s="23">
        <v>50000.0</v>
      </c>
    </row>
    <row r="17">
      <c r="J17" s="23" t="s">
        <v>184</v>
      </c>
      <c r="K17" s="23">
        <v>90000.0</v>
      </c>
      <c r="T17" s="23">
        <v>1014.0</v>
      </c>
      <c r="U17" s="23">
        <v>45000.0</v>
      </c>
    </row>
    <row r="18">
      <c r="J18" s="23" t="s">
        <v>185</v>
      </c>
      <c r="K18" s="23">
        <v>135000.0</v>
      </c>
      <c r="T18" s="23">
        <v>1015.0</v>
      </c>
      <c r="U18" s="23">
        <v>72000.0</v>
      </c>
    </row>
    <row r="19">
      <c r="J19" s="23" t="s">
        <v>186</v>
      </c>
      <c r="K19" s="23">
        <v>90000.0</v>
      </c>
      <c r="T19" s="23">
        <v>1016.0</v>
      </c>
      <c r="U19" s="23">
        <v>150000.0</v>
      </c>
    </row>
    <row r="20">
      <c r="J20" s="23" t="s">
        <v>187</v>
      </c>
      <c r="K20" s="23">
        <v>50000.0</v>
      </c>
      <c r="T20" s="23">
        <v>1017.0</v>
      </c>
      <c r="U20" s="23">
        <v>90000.0</v>
      </c>
    </row>
    <row r="21">
      <c r="J21" s="23" t="s">
        <v>171</v>
      </c>
      <c r="K21" s="23">
        <v>125000.0</v>
      </c>
      <c r="T21" s="23">
        <v>1018.0</v>
      </c>
      <c r="U21" s="23">
        <v>54000.0</v>
      </c>
    </row>
    <row r="22">
      <c r="J22" s="23" t="s">
        <v>173</v>
      </c>
      <c r="K22" s="23">
        <v>90000.0</v>
      </c>
      <c r="T22" s="23">
        <v>1019.0</v>
      </c>
      <c r="U22" s="23">
        <v>125000.0</v>
      </c>
    </row>
    <row r="23">
      <c r="J23" s="23" t="s">
        <v>174</v>
      </c>
      <c r="K23" s="23">
        <v>135000.0</v>
      </c>
      <c r="T23" s="23">
        <v>1020.0</v>
      </c>
      <c r="U23" s="23">
        <v>90000.0</v>
      </c>
    </row>
    <row r="24">
      <c r="J24" s="23" t="s">
        <v>175</v>
      </c>
      <c r="K24" s="23">
        <v>90000.0</v>
      </c>
      <c r="T24" s="23">
        <v>1021.0</v>
      </c>
      <c r="U24" s="23">
        <v>135000.0</v>
      </c>
    </row>
    <row r="25">
      <c r="J25" s="23" t="s">
        <v>176</v>
      </c>
      <c r="K25" s="23">
        <v>50000.0</v>
      </c>
      <c r="T25" s="23">
        <v>1022.0</v>
      </c>
      <c r="U25" s="23">
        <v>90000.0</v>
      </c>
    </row>
    <row r="26">
      <c r="J26" s="23" t="s">
        <v>177</v>
      </c>
      <c r="K26" s="23">
        <v>45000.0</v>
      </c>
      <c r="T26" s="23">
        <v>1023.0</v>
      </c>
      <c r="U26" s="23">
        <v>50000.0</v>
      </c>
    </row>
    <row r="27">
      <c r="J27" s="23" t="s">
        <v>179</v>
      </c>
      <c r="K27" s="23">
        <v>72000.0</v>
      </c>
      <c r="T27" s="23">
        <v>1024.0</v>
      </c>
      <c r="U27" s="23">
        <v>58500.0</v>
      </c>
    </row>
    <row r="28">
      <c r="J28" s="23" t="s">
        <v>206</v>
      </c>
      <c r="K28" s="23">
        <v>3604000.0</v>
      </c>
      <c r="T28" s="23">
        <v>1025.0</v>
      </c>
      <c r="U28" s="23">
        <v>111000.0</v>
      </c>
    </row>
    <row r="29">
      <c r="T29" s="23">
        <v>1026.0</v>
      </c>
      <c r="U29" s="23">
        <v>120000.0</v>
      </c>
    </row>
    <row r="30">
      <c r="T30" s="23">
        <v>1027.0</v>
      </c>
      <c r="U30" s="23">
        <v>72000.0</v>
      </c>
    </row>
    <row r="31">
      <c r="T31" s="23">
        <v>1028.0</v>
      </c>
      <c r="U31" s="23">
        <v>89500.0</v>
      </c>
    </row>
    <row r="32">
      <c r="T32" s="23">
        <v>1029.0</v>
      </c>
      <c r="U32" s="23">
        <v>107500.0</v>
      </c>
    </row>
    <row r="33">
      <c r="T33" s="23">
        <v>1030.0</v>
      </c>
      <c r="U33" s="23">
        <v>90000.0</v>
      </c>
    </row>
    <row r="34">
      <c r="T34" s="23">
        <v>1031.0</v>
      </c>
      <c r="U34" s="23">
        <v>135000.0</v>
      </c>
    </row>
    <row r="35">
      <c r="T35" s="23">
        <v>1032.0</v>
      </c>
      <c r="U35" s="23">
        <v>90000.0</v>
      </c>
    </row>
    <row r="36">
      <c r="T36" s="23">
        <v>1033.0</v>
      </c>
      <c r="U36" s="23">
        <v>50000.0</v>
      </c>
    </row>
    <row r="37">
      <c r="T37" s="23">
        <v>1034.0</v>
      </c>
      <c r="U37" s="23">
        <v>45000.0</v>
      </c>
    </row>
    <row r="38">
      <c r="T38" s="23" t="s">
        <v>206</v>
      </c>
      <c r="U38" s="23">
        <v>90100.0</v>
      </c>
    </row>
  </sheetData>
  <drawing r:id="rId1"/>
</worksheet>
</file>